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d614556877e5b3f/Desktop/EXCEL PRATICES/05-11/"/>
    </mc:Choice>
  </mc:AlternateContent>
  <xr:revisionPtr revIDLastSave="181" documentId="11_38B22FBB1B5036B4EB7925053940C264F0E69F60" xr6:coauthVersionLast="47" xr6:coauthVersionMax="47" xr10:uidLastSave="{5C689D2C-A651-49A3-9982-7191941FFA81}"/>
  <bookViews>
    <workbookView xWindow="-108" yWindow="-108" windowWidth="23256" windowHeight="12456" xr2:uid="{00000000-000D-0000-FFFF-FFFF00000000}"/>
  </bookViews>
  <sheets>
    <sheet name="Table1" sheetId="5" r:id="rId1"/>
    <sheet name="Retail sales data" sheetId="1" r:id="rId2"/>
    <sheet name="Sheet1" sheetId="4" r:id="rId3"/>
    <sheet name="Product master" sheetId="2" r:id="rId4"/>
    <sheet name="scenario manager" sheetId="3" r:id="rId5"/>
  </sheets>
  <definedNames>
    <definedName name="_xlnm._FilterDatabase" localSheetId="1" hidden="1">'Retail sales data'!$A$1:$N$1000</definedName>
    <definedName name="ExternalData_1" localSheetId="0" hidden="1">Table1!$A$1:$N$121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NSxN3N9Srzd8V6R0IVabR8LlCFiPHu/bROWlL8eHQkg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2" i="1"/>
  <c r="H24" i="3"/>
  <c r="G24" i="3"/>
  <c r="F24" i="3"/>
  <c r="H12" i="3"/>
  <c r="G12" i="3"/>
  <c r="F1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6914F9-518E-46EE-ABA9-03D2DB33BD4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<sst xmlns="http://schemas.openxmlformats.org/spreadsheetml/2006/main" count="2025" uniqueCount="540">
  <si>
    <t>Customer_ID</t>
  </si>
  <si>
    <t>Customer_Name</t>
  </si>
  <si>
    <t>Email</t>
  </si>
  <si>
    <t>Phone_Number</t>
  </si>
  <si>
    <t>Address</t>
  </si>
  <si>
    <t>Product_ID</t>
  </si>
  <si>
    <t>Product_Name</t>
  </si>
  <si>
    <t>Quantity_Sold</t>
  </si>
  <si>
    <t>Unit_Price</t>
  </si>
  <si>
    <t>Purchase_Date</t>
  </si>
  <si>
    <t>Payment_Method</t>
  </si>
  <si>
    <t>Discount%</t>
  </si>
  <si>
    <t>Total_Sales</t>
  </si>
  <si>
    <t>Final_Amount</t>
  </si>
  <si>
    <t>C120</t>
  </si>
  <si>
    <t>Priya Sharma</t>
  </si>
  <si>
    <t>priyasharma95@hotmail.com</t>
  </si>
  <si>
    <t>P009</t>
  </si>
  <si>
    <t>C113</t>
  </si>
  <si>
    <t>Emily Smith</t>
  </si>
  <si>
    <t>emilysmith20@yahoo.com</t>
  </si>
  <si>
    <t>97770 55082</t>
  </si>
  <si>
    <t>P002</t>
  </si>
  <si>
    <t>Mobile</t>
  </si>
  <si>
    <t>C102</t>
  </si>
  <si>
    <t>John Singh</t>
  </si>
  <si>
    <t>johnsingh99@hotmail.com</t>
  </si>
  <si>
    <t>C107</t>
  </si>
  <si>
    <t>John Johnson</t>
  </si>
  <si>
    <t>Power Bank</t>
  </si>
  <si>
    <t>Credit</t>
  </si>
  <si>
    <t>C103</t>
  </si>
  <si>
    <t>Rahul Patel</t>
  </si>
  <si>
    <t>rahulpatel88@outlook.com</t>
  </si>
  <si>
    <t>88128 11504</t>
  </si>
  <si>
    <t>P005</t>
  </si>
  <si>
    <t>Mouse</t>
  </si>
  <si>
    <t>Cash</t>
  </si>
  <si>
    <t>Sara Williams</t>
  </si>
  <si>
    <t>sarawilliams78@yahoo.com</t>
  </si>
  <si>
    <t>P010</t>
  </si>
  <si>
    <t>Tablet</t>
  </si>
  <si>
    <t>C116</t>
  </si>
  <si>
    <t>Meera Verma</t>
  </si>
  <si>
    <t>meeraverma28@yahoo.com</t>
  </si>
  <si>
    <t>David Singh</t>
  </si>
  <si>
    <t>davidsingh36@outlook.com</t>
  </si>
  <si>
    <t>P006</t>
  </si>
  <si>
    <t>Monitor</t>
  </si>
  <si>
    <t>UPI</t>
  </si>
  <si>
    <t>C106</t>
  </si>
  <si>
    <t>Amit Williams</t>
  </si>
  <si>
    <t>amitwilliams58@yahoo.com</t>
  </si>
  <si>
    <t>71657 95477</t>
  </si>
  <si>
    <t>P008</t>
  </si>
  <si>
    <t>Debit</t>
  </si>
  <si>
    <t>C117</t>
  </si>
  <si>
    <t>Anita Patel</t>
  </si>
  <si>
    <t>71873 16572</t>
  </si>
  <si>
    <t>Karan Nair</t>
  </si>
  <si>
    <t>karannair73@hotmail.com</t>
  </si>
  <si>
    <t>74288 98039</t>
  </si>
  <si>
    <t>emilysmith21@outlook.com</t>
  </si>
  <si>
    <t>P003</t>
  </si>
  <si>
    <t>C101</t>
  </si>
  <si>
    <t>Priya Verma</t>
  </si>
  <si>
    <t>88077 66057</t>
  </si>
  <si>
    <t>Priya Johnson</t>
  </si>
  <si>
    <t>priyajohnson72@outlook.com</t>
  </si>
  <si>
    <t>P007</t>
  </si>
  <si>
    <t>Charger</t>
  </si>
  <si>
    <t>Anita Johnson</t>
  </si>
  <si>
    <t>anitajohnson40@yahoo.com</t>
  </si>
  <si>
    <t>C110</t>
  </si>
  <si>
    <t>karannair66@gmail.com</t>
  </si>
  <si>
    <t>70055 78146</t>
  </si>
  <si>
    <t>P004</t>
  </si>
  <si>
    <t>Keyboard</t>
  </si>
  <si>
    <t>C112</t>
  </si>
  <si>
    <t>sarawilliams17@yahoo.com</t>
  </si>
  <si>
    <t>Meera Johnson</t>
  </si>
  <si>
    <t>meerajohnson12@yahoo.com</t>
  </si>
  <si>
    <t>78023 72277</t>
  </si>
  <si>
    <t>Rahul Williams</t>
  </si>
  <si>
    <t>rahulwilliams60@gmail.com</t>
  </si>
  <si>
    <t>91875 79616</t>
  </si>
  <si>
    <t>C115</t>
  </si>
  <si>
    <t>Amit Smith</t>
  </si>
  <si>
    <t>amitsmith57@gmail.com</t>
  </si>
  <si>
    <t>C100</t>
  </si>
  <si>
    <t>emilysmith97@outlook.com</t>
  </si>
  <si>
    <t>P001</t>
  </si>
  <si>
    <t>Laptop</t>
  </si>
  <si>
    <t>Wallet</t>
  </si>
  <si>
    <t>C118</t>
  </si>
  <si>
    <t>John Khan</t>
  </si>
  <si>
    <t>johnkhan83@outlook.com</t>
  </si>
  <si>
    <t>johnsingh26@gmail.com</t>
  </si>
  <si>
    <t>Amit Khan</t>
  </si>
  <si>
    <t>amitkhan90@hotmail.com</t>
  </si>
  <si>
    <t>C105</t>
  </si>
  <si>
    <t>David Smith</t>
  </si>
  <si>
    <t>davidsmith79@outlook.com</t>
  </si>
  <si>
    <t>C108</t>
  </si>
  <si>
    <t>David Sharma</t>
  </si>
  <si>
    <t>92629 72402</t>
  </si>
  <si>
    <t>C114</t>
  </si>
  <si>
    <t>Sara Smith</t>
  </si>
  <si>
    <t>sarasmith33@yahoo.com</t>
  </si>
  <si>
    <t>76276 38361</t>
  </si>
  <si>
    <t>John Williams</t>
  </si>
  <si>
    <t>johnwilliams38@yahoo.com</t>
  </si>
  <si>
    <t>C109</t>
  </si>
  <si>
    <t>Priya Singh</t>
  </si>
  <si>
    <t>priyasingh16@outlook.com</t>
  </si>
  <si>
    <t>Rahul Sharma</t>
  </si>
  <si>
    <t>rahulsharma53@outlook.com</t>
  </si>
  <si>
    <t>Rahul Smith</t>
  </si>
  <si>
    <t>rahulsmith77@hotmail.com</t>
  </si>
  <si>
    <t>David Das</t>
  </si>
  <si>
    <t>daviddas36@yahoo.com</t>
  </si>
  <si>
    <t>daviddas53@gmail.com</t>
  </si>
  <si>
    <t>76670 45003</t>
  </si>
  <si>
    <t>Priya Patel</t>
  </si>
  <si>
    <t>priyapatel64@hotmail.com</t>
  </si>
  <si>
    <t>anitapatel58@outlook.com</t>
  </si>
  <si>
    <t>98495 34727</t>
  </si>
  <si>
    <t>Priya Williams</t>
  </si>
  <si>
    <t>priyawilliams59@gmail.com</t>
  </si>
  <si>
    <t>Karan Khan</t>
  </si>
  <si>
    <t>karankhan98@gmail.com</t>
  </si>
  <si>
    <t>Sara Das</t>
  </si>
  <si>
    <t>saradas33@gmail.com</t>
  </si>
  <si>
    <t>84474 55293</t>
  </si>
  <si>
    <t>John Verma</t>
  </si>
  <si>
    <t>johnverma36@gmail.com</t>
  </si>
  <si>
    <t>95419 40162</t>
  </si>
  <si>
    <t>C104</t>
  </si>
  <si>
    <t>Priya Smith</t>
  </si>
  <si>
    <t>priyasmith42@outlook.com</t>
  </si>
  <si>
    <t>John Smith</t>
  </si>
  <si>
    <t>johnsmith69@gmail.com</t>
  </si>
  <si>
    <t>priyapatel6@gmail.com</t>
  </si>
  <si>
    <t>Anita Singh</t>
  </si>
  <si>
    <t>anitasingh47@gmail.com</t>
  </si>
  <si>
    <t>Rahul Nair</t>
  </si>
  <si>
    <t>rahulnair1@hotmail.com</t>
  </si>
  <si>
    <t>Emily Williams</t>
  </si>
  <si>
    <t>emilywilliams76@gmail.com</t>
  </si>
  <si>
    <t>79883 70036</t>
  </si>
  <si>
    <t>Meera Williams</t>
  </si>
  <si>
    <t>meerawilliams92@hotmail.com</t>
  </si>
  <si>
    <t>73249 24996</t>
  </si>
  <si>
    <t>Emily Patel</t>
  </si>
  <si>
    <t>96600 27054</t>
  </si>
  <si>
    <t>amitkhan45@hotmail.com</t>
  </si>
  <si>
    <t>89955 96223</t>
  </si>
  <si>
    <t>johnkhan96@yahoo.com</t>
  </si>
  <si>
    <t>95455 84395</t>
  </si>
  <si>
    <t>priyajohnson56@gmail.com</t>
  </si>
  <si>
    <t>72551 51033</t>
  </si>
  <si>
    <t>karannair52@gmail.com</t>
  </si>
  <si>
    <t>72502 76910</t>
  </si>
  <si>
    <t>Anita Das</t>
  </si>
  <si>
    <t>anitadas97@outlook.com</t>
  </si>
  <si>
    <t>Priya Nair</t>
  </si>
  <si>
    <t>priyanair77@outlook.com</t>
  </si>
  <si>
    <t>Karan Johnson</t>
  </si>
  <si>
    <t>karanjohnson87@gmail.com</t>
  </si>
  <si>
    <t>79310 43029</t>
  </si>
  <si>
    <t>C119</t>
  </si>
  <si>
    <t>Rahul Das</t>
  </si>
  <si>
    <t>rahuldas6@outlook.com</t>
  </si>
  <si>
    <t>Sara Sharma</t>
  </si>
  <si>
    <t>sarasharma83@outlook.com</t>
  </si>
  <si>
    <t>Emily Singh</t>
  </si>
  <si>
    <t>emilysingh4@hotmail.com</t>
  </si>
  <si>
    <t>priyasharma31@outlook.com</t>
  </si>
  <si>
    <t>David Williams</t>
  </si>
  <si>
    <t>davidwilliams65@gmail.com</t>
  </si>
  <si>
    <t>86888 62196</t>
  </si>
  <si>
    <t>anitadas48@hotmail.com</t>
  </si>
  <si>
    <t>johnkhan86@outlook.com</t>
  </si>
  <si>
    <t>97809 89635</t>
  </si>
  <si>
    <t>David Johnson</t>
  </si>
  <si>
    <t>davidjohnson51@hotmail.com</t>
  </si>
  <si>
    <t>priyajohnson86@hotmail.com</t>
  </si>
  <si>
    <t>priyasmith51@outlook.com</t>
  </si>
  <si>
    <t>Amit Johnson</t>
  </si>
  <si>
    <t>amitjohnson67@hotmail.com</t>
  </si>
  <si>
    <t>90480 49691</t>
  </si>
  <si>
    <t>Meera Smith</t>
  </si>
  <si>
    <t>meerasmith84@yahoo.com</t>
  </si>
  <si>
    <t>Emily Verma</t>
  </si>
  <si>
    <t>emilyverma17@hotmail.com</t>
  </si>
  <si>
    <t>Anita Sharma</t>
  </si>
  <si>
    <t>anitasharma12@outlook.com</t>
  </si>
  <si>
    <t>rahulnair66@yahoo.com</t>
  </si>
  <si>
    <t>89455 54089</t>
  </si>
  <si>
    <t>Sara Nair</t>
  </si>
  <si>
    <t>saranair74@yahoo.com</t>
  </si>
  <si>
    <t>davidsingh72@hotmail.com</t>
  </si>
  <si>
    <t>Emily Das</t>
  </si>
  <si>
    <t>emilydas45@hotmail.com</t>
  </si>
  <si>
    <t>Amit Singh</t>
  </si>
  <si>
    <t>rahulsharma51@outlook.com</t>
  </si>
  <si>
    <t>johnjohnson38@yahoo.com</t>
  </si>
  <si>
    <t>72842 62538</t>
  </si>
  <si>
    <t>johnkhan60@hotmail.com</t>
  </si>
  <si>
    <t>C111</t>
  </si>
  <si>
    <t>priyanair15@gmail.com</t>
  </si>
  <si>
    <t>75391 53007</t>
  </si>
  <si>
    <t>sarasharma51@hotmail.com</t>
  </si>
  <si>
    <t>81289 18357</t>
  </si>
  <si>
    <t>priyapatel69@outlook.com</t>
  </si>
  <si>
    <t>79776 70686</t>
  </si>
  <si>
    <t>Priya Khan</t>
  </si>
  <si>
    <t>priyakhan77@gmail.com</t>
  </si>
  <si>
    <t>sarasharma72@yahoo.com</t>
  </si>
  <si>
    <t>Karan Verma</t>
  </si>
  <si>
    <t>karanverma72@yahoo.com</t>
  </si>
  <si>
    <t>73029 80206</t>
  </si>
  <si>
    <t>johnsingh25@gmail.com</t>
  </si>
  <si>
    <t>Amit Patel</t>
  </si>
  <si>
    <t>amitpatel3@hotmail.com</t>
  </si>
  <si>
    <t>priyasharma98@gmail.com</t>
  </si>
  <si>
    <t>70299 38668</t>
  </si>
  <si>
    <t>johnwilliams90@outlook.com</t>
  </si>
  <si>
    <t>77896 35156</t>
  </si>
  <si>
    <t>91132 53420</t>
  </si>
  <si>
    <t>Meera Patel</t>
  </si>
  <si>
    <t>meerapatel97@outlook.com</t>
  </si>
  <si>
    <t>saradas63@yahoo.com</t>
  </si>
  <si>
    <t>Rahul Khan</t>
  </si>
  <si>
    <t>rahulkhan24@outlook.com</t>
  </si>
  <si>
    <t>sarasmith35@outlook.com</t>
  </si>
  <si>
    <t>karannair18@hotmail.com</t>
  </si>
  <si>
    <t>John Das</t>
  </si>
  <si>
    <t>johndas91@yahoo.com</t>
  </si>
  <si>
    <t>emilywilliams77@gmail.com</t>
  </si>
  <si>
    <t>88455 94545</t>
  </si>
  <si>
    <t>meerawilliams20@hotmail.com</t>
  </si>
  <si>
    <t>priyapatel95@yahoo.com</t>
  </si>
  <si>
    <t>77597 63090</t>
  </si>
  <si>
    <t>Meera Khan</t>
  </si>
  <si>
    <t>meerakhan69@yahoo.com</t>
  </si>
  <si>
    <t>amitsmith15@yahoo.com</t>
  </si>
  <si>
    <t>Rahul Singh</t>
  </si>
  <si>
    <t>rahulsingh50@outlook.com</t>
  </si>
  <si>
    <t>Anita Williams</t>
  </si>
  <si>
    <t>anitawilliams28@outlook.com</t>
  </si>
  <si>
    <t>John Nair</t>
  </si>
  <si>
    <t>johnnair45@hotmail.com</t>
  </si>
  <si>
    <t>98115 77425</t>
  </si>
  <si>
    <t>Sara Verma</t>
  </si>
  <si>
    <t>emilysmith44@yahoo.com</t>
  </si>
  <si>
    <t>rahulsharma51@hotmail.com</t>
  </si>
  <si>
    <t>priyajohnson48@hotmail.com</t>
  </si>
  <si>
    <t>88457 11110</t>
  </si>
  <si>
    <t>emilyverma41@yahoo.com</t>
  </si>
  <si>
    <t>95525 13515</t>
  </si>
  <si>
    <t>priyawilliams2@hotmail.com</t>
  </si>
  <si>
    <t>priyawilliams69@yahoo.com</t>
  </si>
  <si>
    <t>priyasharma91@yahoo.com</t>
  </si>
  <si>
    <t>johndas73@yahoo.com</t>
  </si>
  <si>
    <t>emilysmith10@hotmail.com</t>
  </si>
  <si>
    <t>amitwilliams98@yahoo.com</t>
  </si>
  <si>
    <t>karanjohnson59@gmail.com</t>
  </si>
  <si>
    <t>rahuldas60@hotmail.com</t>
  </si>
  <si>
    <t>anitasharma22@outlook.com</t>
  </si>
  <si>
    <t>Product_Category</t>
  </si>
  <si>
    <t>Standard_Cost</t>
  </si>
  <si>
    <t>MSRP</t>
  </si>
  <si>
    <t>Computers</t>
  </si>
  <si>
    <t>Mobiles</t>
  </si>
  <si>
    <t>Accessories</t>
  </si>
  <si>
    <t>Tablets</t>
  </si>
  <si>
    <t>Best Case (High Sales, Low Cost)</t>
  </si>
  <si>
    <t>Worst Case (Low Sales, High Cost)</t>
  </si>
  <si>
    <t xml:space="preserve">Units Sold ↑ by </t>
  </si>
  <si>
    <t xml:space="preserve">Units Sold ↓ by </t>
  </si>
  <si>
    <t xml:space="preserve">Unit Price ↑ by </t>
  </si>
  <si>
    <t>Unit Price ↓ by</t>
  </si>
  <si>
    <t xml:space="preserve">Variable Cost ↓ by </t>
  </si>
  <si>
    <t xml:space="preserve">Variable Cost ↑ by </t>
  </si>
  <si>
    <t>Product</t>
  </si>
  <si>
    <t>Units Sold</t>
  </si>
  <si>
    <t>Unit Price</t>
  </si>
  <si>
    <t>Fixed Cost</t>
  </si>
  <si>
    <t>Variable Cost/Unit</t>
  </si>
  <si>
    <t>Revenue</t>
  </si>
  <si>
    <t>Total Cost</t>
  </si>
  <si>
    <t>Profit</t>
  </si>
  <si>
    <t>A</t>
  </si>
  <si>
    <r>
      <t>Handling Inconsistent Data</t>
    </r>
    <r>
      <rPr>
        <sz val="10"/>
        <color theme="1"/>
        <rFont val="Arial"/>
        <family val="2"/>
      </rPr>
      <t xml:space="preserve"> Use Text-to-Columns, Flash Fill, substitute(),clean and TRIM() to fix messy data.</t>
    </r>
  </si>
  <si>
    <t xml:space="preserve">Task: Split one messy column into multiple clean ones. </t>
  </si>
  <si>
    <r>
      <t>Conditional Formatting for Data Cleaning</t>
    </r>
    <r>
      <rPr>
        <sz val="10"/>
        <color theme="1"/>
        <rFont val="Inherit"/>
      </rPr>
      <t xml:space="preserve"> </t>
    </r>
  </si>
  <si>
    <t>Highlight missing, duplicate, or outlier values. Task: Create color-based rules to flag data issues visually.</t>
  </si>
  <si>
    <t>917440213415</t>
  </si>
  <si>
    <t>917433797840</t>
  </si>
  <si>
    <t>861 3179179</t>
  </si>
  <si>
    <t>919316615266</t>
  </si>
  <si>
    <t>919884873529</t>
  </si>
  <si>
    <t>995 5844981</t>
  </si>
  <si>
    <t>919627135980</t>
  </si>
  <si>
    <t>918016779084</t>
  </si>
  <si>
    <t>868 3852137</t>
  </si>
  <si>
    <t>919909058412</t>
  </si>
  <si>
    <t>918442454200</t>
  </si>
  <si>
    <t>918799682701</t>
  </si>
  <si>
    <t>833 4886363</t>
  </si>
  <si>
    <t>758 6774571</t>
  </si>
  <si>
    <t>989 9011672</t>
  </si>
  <si>
    <t>837 4305022</t>
  </si>
  <si>
    <t>706 6875658</t>
  </si>
  <si>
    <t>967 4898381</t>
  </si>
  <si>
    <t>917140187131</t>
  </si>
  <si>
    <t>906 3789199</t>
  </si>
  <si>
    <t>746 5816700</t>
  </si>
  <si>
    <t>941 3498483</t>
  </si>
  <si>
    <t>779 1768692</t>
  </si>
  <si>
    <t>723 4321919</t>
  </si>
  <si>
    <t>919316738668</t>
  </si>
  <si>
    <t>834 6987242</t>
  </si>
  <si>
    <t>820 6503222</t>
  </si>
  <si>
    <t>919769510048</t>
  </si>
  <si>
    <t>917558311957</t>
  </si>
  <si>
    <t>969 7836053</t>
  </si>
  <si>
    <t>919761628889</t>
  </si>
  <si>
    <t>930 9294084</t>
  </si>
  <si>
    <t>918326569692</t>
  </si>
  <si>
    <t>918907818922</t>
  </si>
  <si>
    <t>917440619526</t>
  </si>
  <si>
    <t>871 9103392</t>
  </si>
  <si>
    <t>917269754673</t>
  </si>
  <si>
    <t>898 4825155</t>
  </si>
  <si>
    <t>920 7163956</t>
  </si>
  <si>
    <t>713 8534048</t>
  </si>
  <si>
    <t>918247096480</t>
  </si>
  <si>
    <t>737 2286194</t>
  </si>
  <si>
    <t>715 6099938</t>
  </si>
  <si>
    <t>918038256217</t>
  </si>
  <si>
    <t>998 4611797</t>
  </si>
  <si>
    <t>843 9452946</t>
  </si>
  <si>
    <t>917732343731</t>
  </si>
  <si>
    <t>860 2778531</t>
  </si>
  <si>
    <t>894 5046654</t>
  </si>
  <si>
    <t>918775115854</t>
  </si>
  <si>
    <t>918243251189</t>
  </si>
  <si>
    <t>918335640103</t>
  </si>
  <si>
    <t>917209063208</t>
  </si>
  <si>
    <t>724 4527244</t>
  </si>
  <si>
    <t>804 5064921</t>
  </si>
  <si>
    <t>851 2564214</t>
  </si>
  <si>
    <t>823 6807375</t>
  </si>
  <si>
    <t>795 7967227</t>
  </si>
  <si>
    <t>918752536389</t>
  </si>
  <si>
    <t>915 4068933</t>
  </si>
  <si>
    <t>945 4213910</t>
  </si>
  <si>
    <t>919975704877</t>
  </si>
  <si>
    <t>912 1872901</t>
  </si>
  <si>
    <t>834 7869019</t>
  </si>
  <si>
    <t>914 7103258</t>
  </si>
  <si>
    <t>918906328733</t>
  </si>
  <si>
    <t>852 9951528</t>
  </si>
  <si>
    <t>906 6275558</t>
  </si>
  <si>
    <t>918476350425</t>
  </si>
  <si>
    <t>746 8202559</t>
  </si>
  <si>
    <t>915 4749951</t>
  </si>
  <si>
    <t>804 9273545</t>
  </si>
  <si>
    <t>918489087190</t>
  </si>
  <si>
    <t>917441973220</t>
  </si>
  <si>
    <t>917226225156</t>
  </si>
  <si>
    <t>819 6546675</t>
  </si>
  <si>
    <t>919736820502</t>
  </si>
  <si>
    <t>917891790792</t>
  </si>
  <si>
    <t>917600406558</t>
  </si>
  <si>
    <t>917126625486</t>
  </si>
  <si>
    <t>56 Park Ave</t>
  </si>
  <si>
    <t xml:space="preserve"> Kolkata</t>
  </si>
  <si>
    <t>68 Main St</t>
  </si>
  <si>
    <t xml:space="preserve"> Pune</t>
  </si>
  <si>
    <t>95 MG Road</t>
  </si>
  <si>
    <t xml:space="preserve"> Mumbai</t>
  </si>
  <si>
    <t>37 MG Road</t>
  </si>
  <si>
    <t>185 Main St</t>
  </si>
  <si>
    <t xml:space="preserve"> Mumbai   </t>
  </si>
  <si>
    <t xml:space="preserve"> Bangalore   </t>
  </si>
  <si>
    <t>49 Main St</t>
  </si>
  <si>
    <t xml:space="preserve"> Delhi</t>
  </si>
  <si>
    <t xml:space="preserve"> Kolkata   </t>
  </si>
  <si>
    <t>77 Brigade Rd</t>
  </si>
  <si>
    <t xml:space="preserve"> Bangalore</t>
  </si>
  <si>
    <t>3 Main St</t>
  </si>
  <si>
    <t>46 Hill Rd</t>
  </si>
  <si>
    <t>165 Church St</t>
  </si>
  <si>
    <t xml:space="preserve"> Chennai</t>
  </si>
  <si>
    <t>176 Hill Rd</t>
  </si>
  <si>
    <t>78 MG Road</t>
  </si>
  <si>
    <t>197 Main St</t>
  </si>
  <si>
    <t>153 MG Road</t>
  </si>
  <si>
    <t>99 Hill Rd</t>
  </si>
  <si>
    <t>125 Park Ave</t>
  </si>
  <si>
    <t>87 Brigade Rd</t>
  </si>
  <si>
    <t>43 Church St</t>
  </si>
  <si>
    <t>170 MG Road</t>
  </si>
  <si>
    <t>116 Park Ave</t>
  </si>
  <si>
    <t>183 Brigade Rd</t>
  </si>
  <si>
    <t>124 MG Road</t>
  </si>
  <si>
    <t>88 Park Ave</t>
  </si>
  <si>
    <t>151 Brigade Rd</t>
  </si>
  <si>
    <t>176 Park Ave</t>
  </si>
  <si>
    <t>21 Church St</t>
  </si>
  <si>
    <t>172 Main St</t>
  </si>
  <si>
    <t>34 MG Road</t>
  </si>
  <si>
    <t>49 Church St</t>
  </si>
  <si>
    <t>62 Church St</t>
  </si>
  <si>
    <t>160 Hill Rd</t>
  </si>
  <si>
    <t>111 Park Ave</t>
  </si>
  <si>
    <t>77 Hill Rd</t>
  </si>
  <si>
    <t xml:space="preserve"> Pune   </t>
  </si>
  <si>
    <t>66 Brigade Rd</t>
  </si>
  <si>
    <t>28 Hill Rd</t>
  </si>
  <si>
    <t>172 Hill Rd</t>
  </si>
  <si>
    <t>117 Main St</t>
  </si>
  <si>
    <t>34 Main St</t>
  </si>
  <si>
    <t>8 Main St</t>
  </si>
  <si>
    <t>167 Church St</t>
  </si>
  <si>
    <t>16 Church St</t>
  </si>
  <si>
    <t>69 Main St</t>
  </si>
  <si>
    <t>154 Main St</t>
  </si>
  <si>
    <t>110 Church St</t>
  </si>
  <si>
    <t>121 Brigade Rd</t>
  </si>
  <si>
    <t>129 Park Ave</t>
  </si>
  <si>
    <t>169 Church St</t>
  </si>
  <si>
    <t>80 Brigade Rd</t>
  </si>
  <si>
    <t>121 Hill Rd</t>
  </si>
  <si>
    <t>162 Church St</t>
  </si>
  <si>
    <t>18 MG Road</t>
  </si>
  <si>
    <t>122 MG Road</t>
  </si>
  <si>
    <t>27 Main St</t>
  </si>
  <si>
    <t>144 Main St</t>
  </si>
  <si>
    <t>120 Hill Rd</t>
  </si>
  <si>
    <t>137 Main St</t>
  </si>
  <si>
    <t>124 Park Ave</t>
  </si>
  <si>
    <t>25 Main St</t>
  </si>
  <si>
    <t>153 Hill Rd</t>
  </si>
  <si>
    <t>96 MG Road</t>
  </si>
  <si>
    <t>131 Church St</t>
  </si>
  <si>
    <t>140 MG Road</t>
  </si>
  <si>
    <t>2 Church St</t>
  </si>
  <si>
    <t>86 MG Road</t>
  </si>
  <si>
    <t>25 Park Ave</t>
  </si>
  <si>
    <t xml:space="preserve"> Chennai   </t>
  </si>
  <si>
    <t>114 Main St</t>
  </si>
  <si>
    <t>185 Church St</t>
  </si>
  <si>
    <t xml:space="preserve"> Delhi   </t>
  </si>
  <si>
    <t>98 Brigade Rd</t>
  </si>
  <si>
    <t>146 Park Ave</t>
  </si>
  <si>
    <t>117 MG Road</t>
  </si>
  <si>
    <t>135 MG Road</t>
  </si>
  <si>
    <t>25 Church St</t>
  </si>
  <si>
    <t>153 Church St</t>
  </si>
  <si>
    <t>65 Park Ave</t>
  </si>
  <si>
    <t>189 Hill Rd</t>
  </si>
  <si>
    <t>163 MG Road</t>
  </si>
  <si>
    <t>166 Brigade Rd</t>
  </si>
  <si>
    <t>80 MG Road</t>
  </si>
  <si>
    <t>48 Park Ave</t>
  </si>
  <si>
    <t>153 Brigade Rd</t>
  </si>
  <si>
    <t>48 Brigade Rd</t>
  </si>
  <si>
    <t>75 Main St</t>
  </si>
  <si>
    <t>23 Brigade Rd</t>
  </si>
  <si>
    <t>32 Park Ave</t>
  </si>
  <si>
    <t>20 Park Ave</t>
  </si>
  <si>
    <t>167 Park Ave</t>
  </si>
  <si>
    <t>78 Park Ave</t>
  </si>
  <si>
    <t>198 Main St</t>
  </si>
  <si>
    <t>151 Hill Rd</t>
  </si>
  <si>
    <t>192 MG Road</t>
  </si>
  <si>
    <t>120 MG Road</t>
  </si>
  <si>
    <t>1 Hill Rd</t>
  </si>
  <si>
    <t>61 MG Road</t>
  </si>
  <si>
    <t>41 Hill Rd</t>
  </si>
  <si>
    <t>51 Brigade Rd</t>
  </si>
  <si>
    <t>48 MG Road</t>
  </si>
  <si>
    <t>johnjohnson52@hotmail.com</t>
  </si>
  <si>
    <t>@anitapatel25@hotmail.com@</t>
  </si>
  <si>
    <t>priyaverma36@gmail.com</t>
  </si>
  <si>
    <t>davidsharma67@yahoo.com</t>
  </si>
  <si>
    <t>emilypatel88@outlook.com</t>
  </si>
  <si>
    <t>amitwilliams72@hotmail.com</t>
  </si>
  <si>
    <t>@rahulwilliams12@outlook.com@</t>
  </si>
  <si>
    <t>rahulpatel9@outlook.com</t>
  </si>
  <si>
    <t>amitjohnson71@hotmail.com</t>
  </si>
  <si>
    <t>@amitsingh7@yahoo.com@</t>
  </si>
  <si>
    <t>@karanverma71@outlook.com@</t>
  </si>
  <si>
    <t>saraverma49@outlook.com</t>
  </si>
  <si>
    <t>johnverma58@yahoo.com</t>
  </si>
  <si>
    <t>Usb Cable</t>
  </si>
  <si>
    <t>Headphones</t>
  </si>
  <si>
    <t>City</t>
  </si>
  <si>
    <t>93 MG Road</t>
  </si>
  <si>
    <t>58 Main St</t>
  </si>
  <si>
    <t>4 Main St</t>
  </si>
  <si>
    <t>123 Church St</t>
  </si>
  <si>
    <t>91 Park Ave</t>
  </si>
  <si>
    <t>22 Main St</t>
  </si>
  <si>
    <t>30 Church St</t>
  </si>
  <si>
    <t>58 Park Ave</t>
  </si>
  <si>
    <t>70 Brigade Rd</t>
  </si>
  <si>
    <t>113 Main St</t>
  </si>
  <si>
    <t>93 Church St</t>
  </si>
  <si>
    <t>9 Church St</t>
  </si>
  <si>
    <t>11 MG Road</t>
  </si>
  <si>
    <t>57 Park Ave</t>
  </si>
  <si>
    <t>16 Main St</t>
  </si>
  <si>
    <t>139 Park Ave</t>
  </si>
  <si>
    <t>179 Brigade Rd</t>
  </si>
  <si>
    <t>64 Hill Rd</t>
  </si>
  <si>
    <t>125 MG Road</t>
  </si>
  <si>
    <t>12 Main St</t>
  </si>
  <si>
    <t>Kolkata</t>
  </si>
  <si>
    <t>Pune</t>
  </si>
  <si>
    <t>Mumbai</t>
  </si>
  <si>
    <t>Bangalore</t>
  </si>
  <si>
    <t>Delhi</t>
  </si>
  <si>
    <t>Chennai</t>
  </si>
  <si>
    <t>Missing</t>
  </si>
  <si>
    <t>Duplicate</t>
  </si>
  <si>
    <t>Outlier</t>
  </si>
  <si>
    <t>Data-&gt;Text to Columns-&gt;Delimited</t>
  </si>
  <si>
    <t>Data-&gt;Flash Fill</t>
  </si>
  <si>
    <t>SUBSTITUTE()</t>
  </si>
  <si>
    <t>CLEAN()</t>
  </si>
  <si>
    <t>TRIM()</t>
  </si>
  <si>
    <t>CONDITIONAL FORMATTING FOR DATA CLEANING</t>
  </si>
  <si>
    <t>MISSING -&gt; Conditional Formatting-&gt;New Rule</t>
  </si>
  <si>
    <t>OUTLIER-&gt;Conditional Formatting-&gt;Top/Bottom rules-&gt;Top 10</t>
  </si>
  <si>
    <t>DUPLICATE-&gt;Conditional Formatting-&gt;Hightlight cell rules-&gt;Duplicate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</si>
</sst>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49]\ #,##0.00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Aptos Narrow"/>
    </font>
    <font>
      <sz val="11"/>
      <color theme="1"/>
      <name val="Aptos Narrow"/>
    </font>
    <font>
      <b/>
      <sz val="12"/>
      <color rgb="FFFF0000"/>
      <name val="Aptos Narrow"/>
    </font>
    <font>
      <sz val="10"/>
      <color theme="1"/>
      <name val="Arial"/>
      <family val="2"/>
    </font>
    <font>
      <sz val="10"/>
      <color theme="1"/>
      <name val="Inherit"/>
    </font>
    <font>
      <b/>
      <sz val="10"/>
      <color theme="1"/>
      <name val="Inherit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9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165" fontId="2" fillId="0" borderId="2" xfId="0" applyNumberFormat="1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/>
    <xf numFmtId="0" fontId="1" fillId="2" borderId="0" xfId="0" applyFont="1" applyFill="1"/>
    <xf numFmtId="14" fontId="13" fillId="0" borderId="0" xfId="0" applyNumberFormat="1" applyFont="1"/>
    <xf numFmtId="0" fontId="13" fillId="0" borderId="0" xfId="0" applyFont="1" applyFill="1"/>
  </cellXfs>
  <cellStyles count="1">
    <cellStyle name="Normal" xfId="0" builtinId="0"/>
  </cellStyles>
  <dxfs count="47"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[$₹-449]\ #,##0.00"/>
    </dxf>
    <dxf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₹-4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EE3867-4D23-42F1-B703-76612C8E15AF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Customer_ID" tableColumnId="1"/>
      <queryTableField id="2" name="Customer_Name" tableColumnId="2"/>
      <queryTableField id="3" name="Email" tableColumnId="3"/>
      <queryTableField id="4" name="Phone_Number" tableColumnId="4"/>
      <queryTableField id="5" name="Address" tableColumnId="5"/>
      <queryTableField id="6" name="City" tableColumnId="6"/>
      <queryTableField id="7" name="Product_Name" tableColumnId="7"/>
      <queryTableField id="8" name="Quantity_Sold" tableColumnId="8"/>
      <queryTableField id="9" name="Unit_Price" tableColumnId="9"/>
      <queryTableField id="10" name="Purchase_Date" tableColumnId="10"/>
      <queryTableField id="11" name="Payment_Method" tableColumnId="11"/>
      <queryTableField id="12" name="Discount%" tableColumnId="12"/>
      <queryTableField id="13" name="Total_Sales" tableColumnId="13"/>
      <queryTableField id="14" name="Final_Amount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D52BE1-76AF-4080-B21D-7DE198C0B740}" name="Table1_1" displayName="Table1_1" ref="A1:Q121" tableType="queryTable" totalsRowShown="0">
  <autoFilter ref="A1:Q121" xr:uid="{CBD52BE1-76AF-4080-B21D-7DE198C0B740}"/>
  <tableColumns count="17">
    <tableColumn id="1" xr3:uid="{B7A17F97-871B-4107-9079-AFD8DFE2A90D}" uniqueName="1" name="Customer_ID" queryTableFieldId="1" dataDxfId="29"/>
    <tableColumn id="2" xr3:uid="{851BBDE8-637C-44AD-ABEB-924F3571EC95}" uniqueName="2" name="Customer_Name" queryTableFieldId="2" dataDxfId="28"/>
    <tableColumn id="3" xr3:uid="{0F0AB608-7825-4E11-AF20-C6273921A0C3}" uniqueName="3" name="Email" queryTableFieldId="3" dataDxfId="27"/>
    <tableColumn id="4" xr3:uid="{F15D06D3-B2B2-41FE-B0D7-EAFEB644ACC5}" uniqueName="4" name="Phone_Number" queryTableFieldId="4" dataDxfId="26"/>
    <tableColumn id="5" xr3:uid="{9732D053-4442-44F8-8543-2503575F3360}" uniqueName="5" name="Address" queryTableFieldId="5" dataDxfId="25"/>
    <tableColumn id="6" xr3:uid="{08E8F4A9-9132-4147-B886-35D6A8AF8587}" uniqueName="6" name="City" queryTableFieldId="6" dataDxfId="24"/>
    <tableColumn id="7" xr3:uid="{F7C6CE2E-51E7-48C7-A7C2-F7D7710D220B}" uniqueName="7" name="Product_Name" queryTableFieldId="7" dataDxfId="23"/>
    <tableColumn id="8" xr3:uid="{ECD1D939-6A41-4068-A19C-671C5B54E970}" uniqueName="8" name="Quantity_Sold" queryTableFieldId="8"/>
    <tableColumn id="9" xr3:uid="{A5BF2995-EEC0-4D73-B8CB-5EA12C1D57C3}" uniqueName="9" name="Unit_Price" queryTableFieldId="9"/>
    <tableColumn id="10" xr3:uid="{7680EAE4-399F-4621-A24D-4253B726746E}" uniqueName="10" name="Purchase_Date" queryTableFieldId="10" dataDxfId="22"/>
    <tableColumn id="11" xr3:uid="{018C56FB-16EC-4A8F-A1FB-0A09D3809146}" uniqueName="11" name="Payment_Method" queryTableFieldId="11" dataDxfId="21"/>
    <tableColumn id="12" xr3:uid="{5C6E9663-BB07-4156-8C7B-D7C52106841F}" uniqueName="12" name="Discount%" queryTableFieldId="12"/>
    <tableColumn id="13" xr3:uid="{A888B0FB-225F-4375-9DD6-E672F0C248B4}" uniqueName="13" name="Total_Sales" queryTableFieldId="13"/>
    <tableColumn id="14" xr3:uid="{C618D0B1-DA8A-4D60-9375-E97BC4364683}" uniqueName="14" name="Final_Amount" queryTableFieldId="14"/>
    <tableColumn id="15" xr3:uid="{FEE42667-2574-42D2-BE17-38EA0CF4CBE9}" uniqueName="15" name="Missing" queryTableFieldId="15"/>
    <tableColumn id="16" xr3:uid="{B1C55418-225F-4403-A9AE-46EFE3DC469D}" uniqueName="16" name="Duplicate" queryTableFieldId="16"/>
    <tableColumn id="17" xr3:uid="{F8205CBB-725A-4C9A-B7BF-22FA8C874AC2}" uniqueName="17" name="Outlier" queryTableFieldId="17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DBA53-35BF-4F60-B10E-52C2061FC6A6}" name="Table1" displayName="Table1" ref="A1:N121" totalsRowShown="0" headerRowDxfId="30" headerRowBorderDxfId="45" tableBorderDxfId="46">
  <autoFilter ref="A1:N121" xr:uid="{D39DBA53-35BF-4F60-B10E-52C2061FC6A6}"/>
  <tableColumns count="14">
    <tableColumn id="1" xr3:uid="{202C748E-748A-4063-8564-F370BC5F6362}" name="Customer_ID" dataDxfId="44"/>
    <tableColumn id="2" xr3:uid="{C9A1DEE6-D8D3-44F8-B413-452779EC1C27}" name="Customer_Name" dataDxfId="43"/>
    <tableColumn id="3" xr3:uid="{EEC321E9-7F7F-4C9A-9529-ECFD6EF2EFFB}" name="Email" dataDxfId="42"/>
    <tableColumn id="4" xr3:uid="{F3FEEE8E-5C0E-43AA-8A2C-082D049F7E10}" name="Phone_Number" dataDxfId="41"/>
    <tableColumn id="5" xr3:uid="{EE035599-4AEB-46DE-B5FF-D1BA3EE1D5C5}" name="Address" dataDxfId="40"/>
    <tableColumn id="6" xr3:uid="{1E318D8C-62BC-4110-B5F7-C35B5E8AD6D8}" name="City" dataDxfId="39"/>
    <tableColumn id="7" xr3:uid="{CA22BB1A-4B1A-4155-B5C8-05DA9D97FE1F}" name="Product_Name" dataDxfId="38"/>
    <tableColumn id="8" xr3:uid="{054893B5-5A8D-4F18-9930-60E401797778}" name="Quantity_Sold" dataDxfId="37"/>
    <tableColumn id="9" xr3:uid="{1A9601EC-5567-4F51-874F-31D809DAFE78}" name="Unit_Price" dataDxfId="36"/>
    <tableColumn id="10" xr3:uid="{BE94814D-A0FC-4F3C-913E-8011565E321B}" name="Purchase_Date" dataDxfId="35"/>
    <tableColumn id="11" xr3:uid="{C2702F1A-52EF-4D68-9402-AF7001F84DA6}" name="Payment_Method" dataDxfId="34"/>
    <tableColumn id="12" xr3:uid="{5289F193-FBA4-4E55-B64B-145D58FF7878}" name="Discount%" dataDxfId="33"/>
    <tableColumn id="13" xr3:uid="{289CA547-CD36-4D81-94FE-0E705B2ABD9D}" name="Total_Sales" dataDxfId="32">
      <calculatedColumnFormula>H2*I2</calculatedColumnFormula>
    </tableColumn>
    <tableColumn id="14" xr3:uid="{D259DE09-3F23-4FC1-9185-D76B8822E9A9}" name="Final_Amount" dataDxfId="31">
      <calculatedColumnFormula>M2-L2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0967-718A-4367-86FB-57D0E8613920}">
  <dimension ref="A1:S121"/>
  <sheetViews>
    <sheetView tabSelected="1" workbookViewId="0">
      <selection activeCell="C4" sqref="C4"/>
    </sheetView>
  </sheetViews>
  <sheetFormatPr defaultRowHeight="14.4"/>
  <cols>
    <col min="1" max="1" width="14.109375" bestFit="1" customWidth="1"/>
    <col min="2" max="2" width="17.44140625" bestFit="1" customWidth="1"/>
    <col min="3" max="3" width="30" bestFit="1" customWidth="1"/>
    <col min="4" max="4" width="16.6640625" bestFit="1" customWidth="1"/>
    <col min="5" max="5" width="13.21875" bestFit="1" customWidth="1"/>
    <col min="6" max="6" width="9.21875" bestFit="1" customWidth="1"/>
    <col min="7" max="7" width="16" bestFit="1" customWidth="1"/>
    <col min="8" max="8" width="15.33203125" bestFit="1" customWidth="1"/>
    <col min="9" max="9" width="11.88671875" bestFit="1" customWidth="1"/>
    <col min="10" max="10" width="15.88671875" bestFit="1" customWidth="1"/>
    <col min="11" max="11" width="18.6640625" bestFit="1" customWidth="1"/>
    <col min="12" max="12" width="12" bestFit="1" customWidth="1"/>
    <col min="13" max="13" width="12.6640625" bestFit="1" customWidth="1"/>
    <col min="14" max="14" width="15" bestFit="1" customWidth="1"/>
    <col min="15" max="15" width="9.5546875" bestFit="1" customWidth="1"/>
    <col min="19" max="19" width="9.5546875" bestFit="1" customWidth="1"/>
    <col min="23" max="23" width="8.88671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2" t="s">
        <v>528</v>
      </c>
      <c r="P1" s="32" t="s">
        <v>529</v>
      </c>
      <c r="Q1" s="32" t="s">
        <v>530</v>
      </c>
    </row>
    <row r="2" spans="1:19">
      <c r="A2" s="21" t="s">
        <v>14</v>
      </c>
      <c r="B2" s="21" t="s">
        <v>15</v>
      </c>
      <c r="C2" s="21" t="s">
        <v>16</v>
      </c>
      <c r="D2" s="21" t="s">
        <v>298</v>
      </c>
      <c r="E2" s="21" t="s">
        <v>378</v>
      </c>
      <c r="F2" s="21" t="s">
        <v>522</v>
      </c>
      <c r="G2" s="21" t="s">
        <v>29</v>
      </c>
      <c r="H2">
        <v>1</v>
      </c>
      <c r="I2">
        <v>559</v>
      </c>
      <c r="J2" s="30">
        <v>45669</v>
      </c>
      <c r="K2" s="21" t="s">
        <v>30</v>
      </c>
      <c r="L2">
        <v>9</v>
      </c>
      <c r="M2">
        <v>559</v>
      </c>
      <c r="N2">
        <v>550</v>
      </c>
      <c r="O2">
        <v>1</v>
      </c>
      <c r="P2">
        <v>559</v>
      </c>
      <c r="Q2">
        <v>550</v>
      </c>
    </row>
    <row r="3" spans="1:19">
      <c r="A3" s="21" t="s">
        <v>18</v>
      </c>
      <c r="B3" s="21" t="s">
        <v>19</v>
      </c>
      <c r="C3" s="21" t="s">
        <v>20</v>
      </c>
      <c r="D3" s="21" t="s">
        <v>21</v>
      </c>
      <c r="E3" s="21" t="s">
        <v>380</v>
      </c>
      <c r="F3" s="21" t="s">
        <v>523</v>
      </c>
      <c r="G3" s="21" t="s">
        <v>23</v>
      </c>
      <c r="H3">
        <v>7</v>
      </c>
      <c r="I3">
        <v>50</v>
      </c>
      <c r="J3" s="30">
        <v>45669</v>
      </c>
      <c r="K3" s="21" t="s">
        <v>30</v>
      </c>
      <c r="L3">
        <v>82</v>
      </c>
      <c r="M3">
        <v>350</v>
      </c>
      <c r="N3">
        <v>268</v>
      </c>
      <c r="O3">
        <v>7</v>
      </c>
      <c r="P3">
        <v>350</v>
      </c>
      <c r="Q3">
        <v>268</v>
      </c>
      <c r="S3" s="33">
        <v>45788</v>
      </c>
    </row>
    <row r="4" spans="1:19">
      <c r="A4" s="21" t="s">
        <v>24</v>
      </c>
      <c r="B4" s="21" t="s">
        <v>25</v>
      </c>
      <c r="C4" s="21" t="s">
        <v>26</v>
      </c>
      <c r="D4" s="21" t="s">
        <v>299</v>
      </c>
      <c r="E4" s="21" t="s">
        <v>382</v>
      </c>
      <c r="F4" s="21" t="s">
        <v>524</v>
      </c>
      <c r="G4" s="21" t="s">
        <v>23</v>
      </c>
      <c r="H4">
        <v>10</v>
      </c>
      <c r="I4">
        <v>573</v>
      </c>
      <c r="J4" s="30">
        <v>45992</v>
      </c>
      <c r="K4" s="21" t="s">
        <v>37</v>
      </c>
      <c r="L4">
        <v>21</v>
      </c>
      <c r="M4">
        <v>5730</v>
      </c>
      <c r="N4">
        <v>5709</v>
      </c>
      <c r="O4">
        <v>10</v>
      </c>
      <c r="P4">
        <v>5730</v>
      </c>
      <c r="Q4">
        <v>5709</v>
      </c>
      <c r="S4" s="31" t="s">
        <v>531</v>
      </c>
    </row>
    <row r="5" spans="1:19">
      <c r="A5" s="21" t="s">
        <v>27</v>
      </c>
      <c r="B5" s="21" t="s">
        <v>28</v>
      </c>
      <c r="C5" s="21" t="s">
        <v>486</v>
      </c>
      <c r="D5" s="21" t="s">
        <v>300</v>
      </c>
      <c r="E5" s="21" t="s">
        <v>384</v>
      </c>
      <c r="F5" s="21" t="s">
        <v>524</v>
      </c>
      <c r="G5" s="21" t="s">
        <v>29</v>
      </c>
      <c r="H5">
        <v>1</v>
      </c>
      <c r="I5">
        <v>697</v>
      </c>
      <c r="J5" s="30">
        <v>45992</v>
      </c>
      <c r="K5" s="21" t="s">
        <v>30</v>
      </c>
      <c r="L5">
        <v>120</v>
      </c>
      <c r="M5">
        <v>697</v>
      </c>
      <c r="N5">
        <v>577</v>
      </c>
      <c r="O5">
        <v>1</v>
      </c>
      <c r="P5">
        <v>697</v>
      </c>
      <c r="Q5">
        <v>577</v>
      </c>
      <c r="S5" s="31" t="s">
        <v>532</v>
      </c>
    </row>
    <row r="6" spans="1:19">
      <c r="A6" s="21" t="s">
        <v>31</v>
      </c>
      <c r="B6" s="21" t="s">
        <v>32</v>
      </c>
      <c r="C6" s="21" t="s">
        <v>33</v>
      </c>
      <c r="D6" s="21" t="s">
        <v>34</v>
      </c>
      <c r="E6" s="21" t="s">
        <v>385</v>
      </c>
      <c r="F6" s="21" t="s">
        <v>523</v>
      </c>
      <c r="G6" s="21" t="s">
        <v>36</v>
      </c>
      <c r="H6">
        <v>6</v>
      </c>
      <c r="I6">
        <v>545</v>
      </c>
      <c r="J6" s="30">
        <v>45669</v>
      </c>
      <c r="K6" s="21" t="s">
        <v>37</v>
      </c>
      <c r="L6">
        <v>57</v>
      </c>
      <c r="M6">
        <v>3270</v>
      </c>
      <c r="N6">
        <v>3213</v>
      </c>
      <c r="O6">
        <v>6</v>
      </c>
      <c r="P6">
        <v>3270</v>
      </c>
      <c r="Q6">
        <v>3213</v>
      </c>
      <c r="S6" s="31" t="s">
        <v>533</v>
      </c>
    </row>
    <row r="7" spans="1:19">
      <c r="A7" s="21" t="s">
        <v>31</v>
      </c>
      <c r="B7" s="21" t="s">
        <v>38</v>
      </c>
      <c r="C7" s="21" t="s">
        <v>39</v>
      </c>
      <c r="D7" s="21" t="s">
        <v>301</v>
      </c>
      <c r="E7" s="21" t="s">
        <v>502</v>
      </c>
      <c r="F7" s="21" t="s">
        <v>524</v>
      </c>
      <c r="G7" s="21" t="s">
        <v>41</v>
      </c>
      <c r="H7">
        <v>1</v>
      </c>
      <c r="I7">
        <v>935</v>
      </c>
      <c r="J7" s="30">
        <v>45669</v>
      </c>
      <c r="K7" s="21" t="s">
        <v>30</v>
      </c>
      <c r="L7">
        <v>111</v>
      </c>
      <c r="M7">
        <v>935</v>
      </c>
      <c r="N7">
        <v>824</v>
      </c>
      <c r="O7">
        <v>1</v>
      </c>
      <c r="P7">
        <v>935</v>
      </c>
      <c r="Q7">
        <v>824</v>
      </c>
      <c r="S7" s="31" t="s">
        <v>534</v>
      </c>
    </row>
    <row r="8" spans="1:19">
      <c r="A8" s="21" t="s">
        <v>42</v>
      </c>
      <c r="B8" s="21" t="s">
        <v>43</v>
      </c>
      <c r="C8" s="21" t="s">
        <v>44</v>
      </c>
      <c r="D8" s="21" t="s">
        <v>302</v>
      </c>
      <c r="E8" s="21" t="s">
        <v>503</v>
      </c>
      <c r="F8" s="21" t="s">
        <v>525</v>
      </c>
      <c r="G8" s="21" t="s">
        <v>29</v>
      </c>
      <c r="H8">
        <v>4</v>
      </c>
      <c r="I8">
        <v>172</v>
      </c>
      <c r="J8" s="30">
        <v>45669</v>
      </c>
      <c r="K8" s="21" t="s">
        <v>30</v>
      </c>
      <c r="L8">
        <v>7</v>
      </c>
      <c r="M8">
        <v>688</v>
      </c>
      <c r="N8">
        <v>681</v>
      </c>
      <c r="O8">
        <v>4</v>
      </c>
      <c r="P8">
        <v>688</v>
      </c>
      <c r="Q8">
        <v>681</v>
      </c>
      <c r="S8" s="31" t="s">
        <v>535</v>
      </c>
    </row>
    <row r="9" spans="1:19">
      <c r="A9" s="21" t="s">
        <v>24</v>
      </c>
      <c r="B9" s="21" t="s">
        <v>45</v>
      </c>
      <c r="C9" s="21" t="s">
        <v>46</v>
      </c>
      <c r="D9" s="21" t="s">
        <v>303</v>
      </c>
      <c r="E9" s="21" t="s">
        <v>388</v>
      </c>
      <c r="F9" s="21" t="s">
        <v>526</v>
      </c>
      <c r="G9" s="21" t="s">
        <v>48</v>
      </c>
      <c r="H9">
        <v>8</v>
      </c>
      <c r="I9">
        <v>789</v>
      </c>
      <c r="J9" s="30">
        <v>45992</v>
      </c>
      <c r="K9" s="21" t="s">
        <v>49</v>
      </c>
      <c r="L9">
        <v>76</v>
      </c>
      <c r="M9">
        <v>6312</v>
      </c>
      <c r="N9">
        <v>6236</v>
      </c>
      <c r="O9">
        <v>8</v>
      </c>
      <c r="P9">
        <v>6312</v>
      </c>
      <c r="Q9">
        <v>6236</v>
      </c>
    </row>
    <row r="10" spans="1:19">
      <c r="A10" s="21" t="s">
        <v>50</v>
      </c>
      <c r="B10" s="21" t="s">
        <v>51</v>
      </c>
      <c r="C10" s="21" t="s">
        <v>52</v>
      </c>
      <c r="D10" s="21" t="s">
        <v>53</v>
      </c>
      <c r="E10" s="21" t="s">
        <v>504</v>
      </c>
      <c r="F10" s="21" t="s">
        <v>524</v>
      </c>
      <c r="G10" s="21" t="s">
        <v>499</v>
      </c>
      <c r="H10">
        <v>7</v>
      </c>
      <c r="I10">
        <v>488</v>
      </c>
      <c r="J10" s="30">
        <v>45669</v>
      </c>
      <c r="K10" s="21" t="s">
        <v>55</v>
      </c>
      <c r="L10">
        <v>9</v>
      </c>
      <c r="M10">
        <v>3416</v>
      </c>
      <c r="N10">
        <v>3407</v>
      </c>
      <c r="O10">
        <v>7</v>
      </c>
      <c r="P10">
        <v>3416</v>
      </c>
      <c r="Q10">
        <v>3407</v>
      </c>
      <c r="S10" s="34" t="s">
        <v>536</v>
      </c>
    </row>
    <row r="11" spans="1:19">
      <c r="A11" s="21" t="s">
        <v>56</v>
      </c>
      <c r="B11" s="21" t="s">
        <v>57</v>
      </c>
      <c r="C11" s="21" t="s">
        <v>487</v>
      </c>
      <c r="D11" s="21" t="s">
        <v>58</v>
      </c>
      <c r="E11" s="21" t="s">
        <v>505</v>
      </c>
      <c r="F11" s="21" t="s">
        <v>522</v>
      </c>
      <c r="G11" s="21" t="s">
        <v>29</v>
      </c>
      <c r="H11">
        <v>3</v>
      </c>
      <c r="I11">
        <v>169</v>
      </c>
      <c r="J11" s="30">
        <v>45669</v>
      </c>
      <c r="K11" s="21" t="s">
        <v>37</v>
      </c>
      <c r="L11">
        <v>53</v>
      </c>
      <c r="M11">
        <v>507</v>
      </c>
      <c r="N11">
        <v>454</v>
      </c>
      <c r="O11">
        <v>3</v>
      </c>
      <c r="P11">
        <v>507</v>
      </c>
      <c r="Q11">
        <v>454</v>
      </c>
      <c r="S11" s="31" t="s">
        <v>537</v>
      </c>
    </row>
    <row r="12" spans="1:19">
      <c r="A12" s="21" t="s">
        <v>24</v>
      </c>
      <c r="B12" s="21" t="s">
        <v>59</v>
      </c>
      <c r="C12" s="21" t="s">
        <v>60</v>
      </c>
      <c r="D12" s="21" t="s">
        <v>61</v>
      </c>
      <c r="E12" s="21" t="s">
        <v>391</v>
      </c>
      <c r="F12" s="21" t="s">
        <v>525</v>
      </c>
      <c r="G12" s="21" t="s">
        <v>23</v>
      </c>
      <c r="H12">
        <v>10</v>
      </c>
      <c r="I12">
        <v>23</v>
      </c>
      <c r="J12" s="30">
        <v>45992</v>
      </c>
      <c r="K12" s="21" t="s">
        <v>55</v>
      </c>
      <c r="L12">
        <v>29</v>
      </c>
      <c r="M12">
        <v>230</v>
      </c>
      <c r="N12">
        <v>201</v>
      </c>
      <c r="O12">
        <v>10</v>
      </c>
      <c r="P12">
        <v>230</v>
      </c>
      <c r="Q12">
        <v>201</v>
      </c>
      <c r="S12" s="31" t="s">
        <v>539</v>
      </c>
    </row>
    <row r="13" spans="1:19">
      <c r="A13" s="21" t="s">
        <v>27</v>
      </c>
      <c r="B13" s="21" t="s">
        <v>19</v>
      </c>
      <c r="C13" s="21" t="s">
        <v>62</v>
      </c>
      <c r="D13" s="21" t="s">
        <v>304</v>
      </c>
      <c r="E13" s="21" t="s">
        <v>380</v>
      </c>
      <c r="F13" s="21" t="s">
        <v>526</v>
      </c>
      <c r="G13" s="21" t="s">
        <v>500</v>
      </c>
      <c r="H13">
        <v>10</v>
      </c>
      <c r="I13">
        <v>23</v>
      </c>
      <c r="J13" s="30">
        <v>45669</v>
      </c>
      <c r="K13" s="21" t="s">
        <v>37</v>
      </c>
      <c r="L13">
        <v>16</v>
      </c>
      <c r="M13">
        <v>230</v>
      </c>
      <c r="N13">
        <v>214</v>
      </c>
      <c r="O13">
        <v>10</v>
      </c>
      <c r="P13">
        <v>230</v>
      </c>
      <c r="Q13">
        <v>214</v>
      </c>
      <c r="S13" s="31" t="s">
        <v>538</v>
      </c>
    </row>
    <row r="14" spans="1:19">
      <c r="A14" s="21" t="s">
        <v>64</v>
      </c>
      <c r="B14" s="21" t="s">
        <v>65</v>
      </c>
      <c r="C14" s="21" t="s">
        <v>488</v>
      </c>
      <c r="D14" s="21" t="s">
        <v>66</v>
      </c>
      <c r="E14" s="21" t="s">
        <v>393</v>
      </c>
      <c r="F14" s="21" t="s">
        <v>526</v>
      </c>
      <c r="G14" s="21" t="s">
        <v>500</v>
      </c>
      <c r="H14">
        <v>10</v>
      </c>
      <c r="I14">
        <v>230</v>
      </c>
      <c r="J14" s="30">
        <v>45992</v>
      </c>
      <c r="K14" s="21" t="s">
        <v>55</v>
      </c>
      <c r="L14">
        <v>28</v>
      </c>
      <c r="M14">
        <v>2300</v>
      </c>
      <c r="N14">
        <v>2272</v>
      </c>
      <c r="O14">
        <v>10</v>
      </c>
      <c r="P14">
        <v>2300</v>
      </c>
      <c r="Q14">
        <v>2272</v>
      </c>
    </row>
    <row r="15" spans="1:19">
      <c r="A15" s="21" t="s">
        <v>27</v>
      </c>
      <c r="B15" s="21" t="s">
        <v>67</v>
      </c>
      <c r="C15" s="21" t="s">
        <v>68</v>
      </c>
      <c r="D15" s="21" t="s">
        <v>305</v>
      </c>
      <c r="E15" s="21" t="s">
        <v>394</v>
      </c>
      <c r="F15" s="21" t="s">
        <v>525</v>
      </c>
      <c r="G15" s="21" t="s">
        <v>70</v>
      </c>
      <c r="H15">
        <v>1</v>
      </c>
      <c r="I15">
        <v>906</v>
      </c>
      <c r="J15" s="30">
        <v>45992</v>
      </c>
      <c r="K15" s="21" t="s">
        <v>30</v>
      </c>
      <c r="L15">
        <v>27</v>
      </c>
      <c r="M15">
        <v>906</v>
      </c>
      <c r="N15">
        <v>879</v>
      </c>
      <c r="O15">
        <v>1</v>
      </c>
      <c r="P15">
        <v>906</v>
      </c>
      <c r="Q15">
        <v>879</v>
      </c>
    </row>
    <row r="16" spans="1:19">
      <c r="A16" s="21" t="s">
        <v>50</v>
      </c>
      <c r="B16" s="21" t="s">
        <v>71</v>
      </c>
      <c r="C16" s="21" t="s">
        <v>72</v>
      </c>
      <c r="D16" s="21" t="s">
        <v>306</v>
      </c>
      <c r="E16" s="21" t="s">
        <v>395</v>
      </c>
      <c r="F16" s="21" t="s">
        <v>527</v>
      </c>
      <c r="G16" s="21" t="s">
        <v>29</v>
      </c>
      <c r="H16">
        <v>1</v>
      </c>
      <c r="I16">
        <v>21</v>
      </c>
      <c r="J16" s="30">
        <v>45669</v>
      </c>
      <c r="K16" s="21" t="s">
        <v>55</v>
      </c>
      <c r="L16">
        <v>3</v>
      </c>
      <c r="M16">
        <v>21</v>
      </c>
      <c r="N16">
        <v>18</v>
      </c>
      <c r="O16">
        <v>1</v>
      </c>
      <c r="P16">
        <v>21</v>
      </c>
      <c r="Q16">
        <v>18</v>
      </c>
    </row>
    <row r="17" spans="1:17">
      <c r="A17" s="21" t="s">
        <v>73</v>
      </c>
      <c r="B17" s="21" t="s">
        <v>59</v>
      </c>
      <c r="C17" s="21" t="s">
        <v>74</v>
      </c>
      <c r="D17" s="21" t="s">
        <v>75</v>
      </c>
      <c r="E17" s="21" t="s">
        <v>397</v>
      </c>
      <c r="F17" s="21" t="s">
        <v>523</v>
      </c>
      <c r="G17" s="21" t="s">
        <v>77</v>
      </c>
      <c r="H17">
        <v>1</v>
      </c>
      <c r="I17">
        <v>17</v>
      </c>
      <c r="J17" s="30">
        <v>45669</v>
      </c>
      <c r="K17" s="21" t="s">
        <v>55</v>
      </c>
      <c r="L17">
        <v>9</v>
      </c>
      <c r="M17">
        <v>17</v>
      </c>
      <c r="N17">
        <v>8</v>
      </c>
      <c r="O17">
        <v>1</v>
      </c>
      <c r="P17">
        <v>17</v>
      </c>
      <c r="Q17">
        <v>8</v>
      </c>
    </row>
    <row r="18" spans="1:17">
      <c r="A18" s="21" t="s">
        <v>78</v>
      </c>
      <c r="B18" s="21" t="s">
        <v>38</v>
      </c>
      <c r="C18" s="21" t="s">
        <v>79</v>
      </c>
      <c r="D18" s="21" t="s">
        <v>307</v>
      </c>
      <c r="E18" s="21" t="s">
        <v>398</v>
      </c>
      <c r="F18" s="21" t="s">
        <v>524</v>
      </c>
      <c r="G18" s="21" t="s">
        <v>41</v>
      </c>
      <c r="H18">
        <v>1</v>
      </c>
      <c r="I18">
        <v>23</v>
      </c>
      <c r="J18" s="30">
        <v>45669</v>
      </c>
      <c r="K18" s="21" t="s">
        <v>49</v>
      </c>
      <c r="L18">
        <v>33</v>
      </c>
      <c r="M18">
        <v>23</v>
      </c>
      <c r="N18">
        <v>-10</v>
      </c>
      <c r="O18">
        <v>1</v>
      </c>
      <c r="P18">
        <v>23</v>
      </c>
      <c r="Q18">
        <v>-10</v>
      </c>
    </row>
    <row r="19" spans="1:17">
      <c r="A19" s="21" t="s">
        <v>42</v>
      </c>
      <c r="B19" s="21" t="s">
        <v>80</v>
      </c>
      <c r="C19" s="21" t="s">
        <v>81</v>
      </c>
      <c r="D19" s="21" t="s">
        <v>82</v>
      </c>
      <c r="E19" s="21" t="s">
        <v>399</v>
      </c>
      <c r="F19" s="21" t="s">
        <v>527</v>
      </c>
      <c r="G19" s="21" t="s">
        <v>41</v>
      </c>
      <c r="H19">
        <v>1</v>
      </c>
      <c r="I19">
        <v>19</v>
      </c>
      <c r="J19" s="30">
        <v>45669</v>
      </c>
      <c r="K19" s="21" t="s">
        <v>37</v>
      </c>
      <c r="L19">
        <v>9</v>
      </c>
      <c r="M19">
        <v>19</v>
      </c>
      <c r="N19">
        <v>10</v>
      </c>
      <c r="O19">
        <v>1</v>
      </c>
      <c r="P19">
        <v>19</v>
      </c>
      <c r="Q19">
        <v>10</v>
      </c>
    </row>
    <row r="20" spans="1:17">
      <c r="A20" s="21" t="s">
        <v>27</v>
      </c>
      <c r="B20" s="21" t="s">
        <v>83</v>
      </c>
      <c r="C20" s="21" t="s">
        <v>84</v>
      </c>
      <c r="D20" s="21" t="s">
        <v>85</v>
      </c>
      <c r="E20" s="21" t="s">
        <v>400</v>
      </c>
      <c r="F20" s="21" t="s">
        <v>527</v>
      </c>
      <c r="G20" s="21" t="s">
        <v>29</v>
      </c>
      <c r="H20">
        <v>1</v>
      </c>
      <c r="I20">
        <v>861</v>
      </c>
      <c r="J20" s="30">
        <v>45669</v>
      </c>
      <c r="K20" s="21" t="s">
        <v>55</v>
      </c>
      <c r="L20">
        <v>26</v>
      </c>
      <c r="M20">
        <v>861</v>
      </c>
      <c r="N20">
        <v>835</v>
      </c>
      <c r="O20">
        <v>1</v>
      </c>
      <c r="P20">
        <v>861</v>
      </c>
      <c r="Q20">
        <v>835</v>
      </c>
    </row>
    <row r="21" spans="1:17">
      <c r="A21" s="21" t="s">
        <v>86</v>
      </c>
      <c r="B21" s="21" t="s">
        <v>87</v>
      </c>
      <c r="C21" s="21" t="s">
        <v>88</v>
      </c>
      <c r="D21" s="21" t="s">
        <v>308</v>
      </c>
      <c r="E21" s="21" t="s">
        <v>401</v>
      </c>
      <c r="F21" s="21" t="s">
        <v>524</v>
      </c>
      <c r="G21" s="21" t="s">
        <v>23</v>
      </c>
      <c r="H21">
        <v>1</v>
      </c>
      <c r="I21">
        <v>163</v>
      </c>
      <c r="J21" s="30">
        <v>45669</v>
      </c>
      <c r="K21" s="21" t="s">
        <v>49</v>
      </c>
      <c r="L21">
        <v>27</v>
      </c>
      <c r="M21">
        <v>163</v>
      </c>
      <c r="N21">
        <v>136</v>
      </c>
      <c r="O21">
        <v>1</v>
      </c>
      <c r="P21">
        <v>163</v>
      </c>
      <c r="Q21">
        <v>136</v>
      </c>
    </row>
    <row r="22" spans="1:17">
      <c r="A22" s="21" t="s">
        <v>89</v>
      </c>
      <c r="B22" s="21" t="s">
        <v>19</v>
      </c>
      <c r="C22" s="21" t="s">
        <v>90</v>
      </c>
      <c r="D22" s="21" t="s">
        <v>309</v>
      </c>
      <c r="E22" s="21" t="s">
        <v>402</v>
      </c>
      <c r="F22" s="21" t="s">
        <v>525</v>
      </c>
      <c r="G22" s="21" t="s">
        <v>92</v>
      </c>
      <c r="H22">
        <v>10</v>
      </c>
      <c r="I22">
        <v>18</v>
      </c>
      <c r="J22" s="30">
        <v>45669</v>
      </c>
      <c r="K22" s="21" t="s">
        <v>93</v>
      </c>
      <c r="L22">
        <v>29</v>
      </c>
      <c r="M22">
        <v>180</v>
      </c>
      <c r="N22">
        <v>151</v>
      </c>
      <c r="O22">
        <v>10</v>
      </c>
      <c r="P22">
        <v>180</v>
      </c>
      <c r="Q22">
        <v>151</v>
      </c>
    </row>
    <row r="23" spans="1:17">
      <c r="A23" s="21" t="s">
        <v>94</v>
      </c>
      <c r="B23" s="21" t="s">
        <v>95</v>
      </c>
      <c r="C23" s="21" t="s">
        <v>96</v>
      </c>
      <c r="D23" s="21" t="s">
        <v>310</v>
      </c>
      <c r="E23" s="21" t="s">
        <v>403</v>
      </c>
      <c r="F23" s="21" t="s">
        <v>525</v>
      </c>
      <c r="G23" s="21" t="s">
        <v>70</v>
      </c>
      <c r="H23">
        <v>1</v>
      </c>
      <c r="I23">
        <v>119</v>
      </c>
      <c r="J23" s="30">
        <v>45669</v>
      </c>
      <c r="K23" s="21" t="s">
        <v>55</v>
      </c>
      <c r="L23">
        <v>47</v>
      </c>
      <c r="M23">
        <v>119</v>
      </c>
      <c r="N23">
        <v>72</v>
      </c>
      <c r="O23">
        <v>1</v>
      </c>
      <c r="P23">
        <v>119</v>
      </c>
      <c r="Q23">
        <v>72</v>
      </c>
    </row>
    <row r="24" spans="1:17">
      <c r="A24" s="21" t="s">
        <v>64</v>
      </c>
      <c r="B24" s="21" t="s">
        <v>25</v>
      </c>
      <c r="C24" s="21" t="s">
        <v>97</v>
      </c>
      <c r="D24" s="21" t="s">
        <v>311</v>
      </c>
      <c r="E24" s="21" t="s">
        <v>404</v>
      </c>
      <c r="F24" s="21" t="s">
        <v>522</v>
      </c>
      <c r="G24" s="21" t="s">
        <v>23</v>
      </c>
      <c r="H24">
        <v>1</v>
      </c>
      <c r="I24">
        <v>692</v>
      </c>
      <c r="J24" s="30">
        <v>45992</v>
      </c>
      <c r="K24" s="21" t="s">
        <v>93</v>
      </c>
      <c r="L24">
        <v>86</v>
      </c>
      <c r="M24">
        <v>692</v>
      </c>
      <c r="N24">
        <v>606</v>
      </c>
      <c r="O24">
        <v>1</v>
      </c>
      <c r="P24">
        <v>692</v>
      </c>
      <c r="Q24">
        <v>606</v>
      </c>
    </row>
    <row r="25" spans="1:17">
      <c r="A25" s="21" t="s">
        <v>94</v>
      </c>
      <c r="B25" s="21" t="s">
        <v>98</v>
      </c>
      <c r="C25" s="21" t="s">
        <v>99</v>
      </c>
      <c r="D25" s="21" t="s">
        <v>312</v>
      </c>
      <c r="E25" s="21" t="s">
        <v>405</v>
      </c>
      <c r="F25" s="21" t="s">
        <v>526</v>
      </c>
      <c r="G25" s="21" t="s">
        <v>48</v>
      </c>
      <c r="H25">
        <v>1</v>
      </c>
      <c r="I25">
        <v>33</v>
      </c>
      <c r="J25" s="30">
        <v>45669</v>
      </c>
      <c r="K25" s="21" t="s">
        <v>30</v>
      </c>
      <c r="L25">
        <v>107</v>
      </c>
      <c r="M25">
        <v>33</v>
      </c>
      <c r="N25">
        <v>-74</v>
      </c>
      <c r="O25">
        <v>1</v>
      </c>
      <c r="P25">
        <v>33</v>
      </c>
      <c r="Q25">
        <v>-74</v>
      </c>
    </row>
    <row r="26" spans="1:17">
      <c r="A26" s="21" t="s">
        <v>100</v>
      </c>
      <c r="B26" s="21" t="s">
        <v>101</v>
      </c>
      <c r="C26" s="21" t="s">
        <v>102</v>
      </c>
      <c r="D26" s="21" t="s">
        <v>313</v>
      </c>
      <c r="E26" s="21" t="s">
        <v>406</v>
      </c>
      <c r="F26" s="21" t="s">
        <v>527</v>
      </c>
      <c r="G26" s="21" t="s">
        <v>70</v>
      </c>
      <c r="H26">
        <v>1</v>
      </c>
      <c r="I26">
        <v>599</v>
      </c>
      <c r="J26" s="30">
        <v>45669</v>
      </c>
      <c r="K26" s="21" t="s">
        <v>30</v>
      </c>
      <c r="L26">
        <v>10</v>
      </c>
      <c r="M26">
        <v>599</v>
      </c>
      <c r="N26">
        <v>589</v>
      </c>
      <c r="O26">
        <v>1</v>
      </c>
      <c r="P26">
        <v>599</v>
      </c>
      <c r="Q26">
        <v>589</v>
      </c>
    </row>
    <row r="27" spans="1:17">
      <c r="A27" s="21" t="s">
        <v>103</v>
      </c>
      <c r="B27" s="21" t="s">
        <v>104</v>
      </c>
      <c r="C27" s="21" t="s">
        <v>489</v>
      </c>
      <c r="D27" s="21" t="s">
        <v>105</v>
      </c>
      <c r="E27" s="21" t="s">
        <v>407</v>
      </c>
      <c r="F27" s="21" t="s">
        <v>527</v>
      </c>
      <c r="G27" s="21" t="s">
        <v>23</v>
      </c>
      <c r="H27">
        <v>10</v>
      </c>
      <c r="I27">
        <v>779</v>
      </c>
      <c r="J27" s="30">
        <v>45669</v>
      </c>
      <c r="K27" s="21" t="s">
        <v>49</v>
      </c>
      <c r="L27">
        <v>13</v>
      </c>
      <c r="M27">
        <v>7790</v>
      </c>
      <c r="N27">
        <v>7777</v>
      </c>
      <c r="O27">
        <v>10</v>
      </c>
      <c r="P27">
        <v>7790</v>
      </c>
      <c r="Q27">
        <v>7777</v>
      </c>
    </row>
    <row r="28" spans="1:17">
      <c r="A28" s="21" t="s">
        <v>106</v>
      </c>
      <c r="B28" s="21" t="s">
        <v>107</v>
      </c>
      <c r="C28" s="21" t="s">
        <v>108</v>
      </c>
      <c r="D28" s="21" t="s">
        <v>109</v>
      </c>
      <c r="E28" s="21" t="s">
        <v>408</v>
      </c>
      <c r="F28" s="21" t="s">
        <v>523</v>
      </c>
      <c r="G28" s="21" t="s">
        <v>29</v>
      </c>
      <c r="H28">
        <v>10</v>
      </c>
      <c r="I28">
        <v>403</v>
      </c>
      <c r="J28" s="30">
        <v>45669</v>
      </c>
      <c r="K28" s="21" t="s">
        <v>55</v>
      </c>
      <c r="L28">
        <v>7</v>
      </c>
      <c r="M28">
        <v>4030</v>
      </c>
      <c r="N28">
        <v>4023</v>
      </c>
      <c r="O28">
        <v>10</v>
      </c>
      <c r="P28">
        <v>4030</v>
      </c>
      <c r="Q28">
        <v>4023</v>
      </c>
    </row>
    <row r="29" spans="1:17">
      <c r="A29" s="21" t="s">
        <v>64</v>
      </c>
      <c r="B29" s="21" t="s">
        <v>110</v>
      </c>
      <c r="C29" s="21" t="s">
        <v>111</v>
      </c>
      <c r="D29" s="21" t="s">
        <v>314</v>
      </c>
      <c r="E29" s="21" t="s">
        <v>409</v>
      </c>
      <c r="F29" s="21" t="s">
        <v>526</v>
      </c>
      <c r="G29" s="21" t="s">
        <v>499</v>
      </c>
      <c r="H29">
        <v>1</v>
      </c>
      <c r="I29">
        <v>46</v>
      </c>
      <c r="J29" s="30">
        <v>45669</v>
      </c>
      <c r="K29" s="21" t="s">
        <v>37</v>
      </c>
      <c r="L29">
        <v>3</v>
      </c>
      <c r="M29">
        <v>46</v>
      </c>
      <c r="N29">
        <v>43</v>
      </c>
      <c r="O29">
        <v>1</v>
      </c>
      <c r="P29">
        <v>46</v>
      </c>
      <c r="Q29">
        <v>43</v>
      </c>
    </row>
    <row r="30" spans="1:17">
      <c r="A30" s="21" t="s">
        <v>112</v>
      </c>
      <c r="B30" s="21" t="s">
        <v>113</v>
      </c>
      <c r="C30" s="21" t="s">
        <v>114</v>
      </c>
      <c r="D30" s="21" t="s">
        <v>315</v>
      </c>
      <c r="E30" s="21" t="s">
        <v>410</v>
      </c>
      <c r="F30" s="21" t="s">
        <v>525</v>
      </c>
      <c r="G30" s="21" t="s">
        <v>92</v>
      </c>
      <c r="H30">
        <v>10</v>
      </c>
      <c r="I30">
        <v>26</v>
      </c>
      <c r="J30" s="30">
        <v>45669</v>
      </c>
      <c r="K30" s="21" t="s">
        <v>37</v>
      </c>
      <c r="L30">
        <v>30</v>
      </c>
      <c r="M30">
        <v>260</v>
      </c>
      <c r="N30">
        <v>230</v>
      </c>
      <c r="O30">
        <v>10</v>
      </c>
      <c r="P30">
        <v>260</v>
      </c>
      <c r="Q30">
        <v>230</v>
      </c>
    </row>
    <row r="31" spans="1:17">
      <c r="A31" s="21" t="s">
        <v>24</v>
      </c>
      <c r="B31" s="21" t="s">
        <v>115</v>
      </c>
      <c r="C31" s="21" t="s">
        <v>116</v>
      </c>
      <c r="D31" s="21" t="s">
        <v>316</v>
      </c>
      <c r="E31" s="21" t="s">
        <v>411</v>
      </c>
      <c r="F31" s="21" t="s">
        <v>525</v>
      </c>
      <c r="G31" s="21" t="s">
        <v>41</v>
      </c>
      <c r="H31">
        <v>1</v>
      </c>
      <c r="I31">
        <v>24</v>
      </c>
      <c r="J31" s="30">
        <v>45992</v>
      </c>
      <c r="K31" s="21" t="s">
        <v>30</v>
      </c>
      <c r="L31">
        <v>58</v>
      </c>
      <c r="M31">
        <v>24</v>
      </c>
      <c r="N31">
        <v>-34</v>
      </c>
      <c r="O31">
        <v>1</v>
      </c>
      <c r="P31">
        <v>24</v>
      </c>
      <c r="Q31">
        <v>-34</v>
      </c>
    </row>
    <row r="32" spans="1:17">
      <c r="A32" s="21" t="s">
        <v>64</v>
      </c>
      <c r="B32" s="21" t="s">
        <v>117</v>
      </c>
      <c r="C32" s="21" t="s">
        <v>118</v>
      </c>
      <c r="D32" s="21" t="s">
        <v>317</v>
      </c>
      <c r="E32" s="21" t="s">
        <v>412</v>
      </c>
      <c r="F32" s="21" t="s">
        <v>526</v>
      </c>
      <c r="G32" s="21" t="s">
        <v>48</v>
      </c>
      <c r="H32">
        <v>1</v>
      </c>
      <c r="I32">
        <v>46</v>
      </c>
      <c r="J32" s="30">
        <v>45992</v>
      </c>
      <c r="K32" s="21" t="s">
        <v>37</v>
      </c>
      <c r="L32">
        <v>58</v>
      </c>
      <c r="M32">
        <v>46</v>
      </c>
      <c r="N32">
        <v>-12</v>
      </c>
      <c r="O32">
        <v>1</v>
      </c>
      <c r="P32">
        <v>46</v>
      </c>
      <c r="Q32">
        <v>-12</v>
      </c>
    </row>
    <row r="33" spans="1:17">
      <c r="A33" s="21" t="s">
        <v>86</v>
      </c>
      <c r="B33" s="21" t="s">
        <v>119</v>
      </c>
      <c r="C33" s="21" t="s">
        <v>120</v>
      </c>
      <c r="D33" s="21" t="s">
        <v>318</v>
      </c>
      <c r="E33" s="21" t="s">
        <v>413</v>
      </c>
      <c r="F33" s="21" t="s">
        <v>524</v>
      </c>
      <c r="G33" s="21" t="s">
        <v>499</v>
      </c>
      <c r="H33">
        <v>7</v>
      </c>
      <c r="I33">
        <v>190</v>
      </c>
      <c r="J33" s="30">
        <v>45669</v>
      </c>
      <c r="K33" s="21" t="s">
        <v>55</v>
      </c>
      <c r="L33">
        <v>24</v>
      </c>
      <c r="M33">
        <v>1330</v>
      </c>
      <c r="N33">
        <v>1306</v>
      </c>
      <c r="O33">
        <v>7</v>
      </c>
      <c r="P33">
        <v>1330</v>
      </c>
      <c r="Q33">
        <v>1306</v>
      </c>
    </row>
    <row r="34" spans="1:17">
      <c r="A34" s="21" t="s">
        <v>89</v>
      </c>
      <c r="B34" s="21" t="s">
        <v>119</v>
      </c>
      <c r="C34" s="21" t="s">
        <v>121</v>
      </c>
      <c r="D34" s="21" t="s">
        <v>122</v>
      </c>
      <c r="E34" s="21" t="s">
        <v>414</v>
      </c>
      <c r="F34" s="21" t="s">
        <v>527</v>
      </c>
      <c r="G34" s="21" t="s">
        <v>499</v>
      </c>
      <c r="H34">
        <v>10</v>
      </c>
      <c r="I34">
        <v>29</v>
      </c>
      <c r="J34" s="30">
        <v>45992</v>
      </c>
      <c r="K34" s="21" t="s">
        <v>37</v>
      </c>
      <c r="L34">
        <v>94</v>
      </c>
      <c r="M34">
        <v>290</v>
      </c>
      <c r="N34">
        <v>196</v>
      </c>
      <c r="O34">
        <v>10</v>
      </c>
      <c r="P34">
        <v>290</v>
      </c>
      <c r="Q34">
        <v>196</v>
      </c>
    </row>
    <row r="35" spans="1:17">
      <c r="A35" s="21" t="s">
        <v>106</v>
      </c>
      <c r="B35" s="21" t="s">
        <v>123</v>
      </c>
      <c r="C35" s="21" t="s">
        <v>124</v>
      </c>
      <c r="D35" s="21" t="s">
        <v>319</v>
      </c>
      <c r="E35" s="21" t="s">
        <v>415</v>
      </c>
      <c r="F35" s="21" t="s">
        <v>522</v>
      </c>
      <c r="G35" s="21" t="s">
        <v>500</v>
      </c>
      <c r="H35">
        <v>1</v>
      </c>
      <c r="I35">
        <v>906</v>
      </c>
      <c r="J35" s="30">
        <v>45669</v>
      </c>
      <c r="K35" s="21" t="s">
        <v>30</v>
      </c>
      <c r="L35">
        <v>9</v>
      </c>
      <c r="M35">
        <v>906</v>
      </c>
      <c r="N35">
        <v>897</v>
      </c>
      <c r="O35">
        <v>1</v>
      </c>
      <c r="P35">
        <v>906</v>
      </c>
      <c r="Q35">
        <v>897</v>
      </c>
    </row>
    <row r="36" spans="1:17">
      <c r="A36" s="21" t="s">
        <v>94</v>
      </c>
      <c r="B36" s="21" t="s">
        <v>57</v>
      </c>
      <c r="C36" s="21" t="s">
        <v>125</v>
      </c>
      <c r="D36" s="21" t="s">
        <v>126</v>
      </c>
      <c r="E36" s="21" t="s">
        <v>416</v>
      </c>
      <c r="F36" s="21" t="s">
        <v>527</v>
      </c>
      <c r="G36" s="21" t="s">
        <v>70</v>
      </c>
      <c r="H36">
        <v>1</v>
      </c>
      <c r="I36">
        <v>779</v>
      </c>
      <c r="J36" s="30">
        <v>45992</v>
      </c>
      <c r="K36" s="21" t="s">
        <v>37</v>
      </c>
      <c r="L36">
        <v>16</v>
      </c>
      <c r="M36">
        <v>779</v>
      </c>
      <c r="N36">
        <v>763</v>
      </c>
      <c r="O36">
        <v>1</v>
      </c>
      <c r="P36">
        <v>779</v>
      </c>
      <c r="Q36">
        <v>763</v>
      </c>
    </row>
    <row r="37" spans="1:17">
      <c r="A37" s="21" t="s">
        <v>106</v>
      </c>
      <c r="B37" s="21" t="s">
        <v>127</v>
      </c>
      <c r="C37" s="21" t="s">
        <v>128</v>
      </c>
      <c r="D37" s="21" t="s">
        <v>320</v>
      </c>
      <c r="E37" s="21" t="s">
        <v>417</v>
      </c>
      <c r="F37" s="21" t="s">
        <v>527</v>
      </c>
      <c r="G37" s="21" t="s">
        <v>48</v>
      </c>
      <c r="H37">
        <v>1</v>
      </c>
      <c r="I37">
        <v>41</v>
      </c>
      <c r="J37" s="30">
        <v>45992</v>
      </c>
      <c r="K37" s="21" t="s">
        <v>37</v>
      </c>
      <c r="L37">
        <v>7</v>
      </c>
      <c r="M37">
        <v>41</v>
      </c>
      <c r="N37">
        <v>34</v>
      </c>
      <c r="O37">
        <v>1</v>
      </c>
      <c r="P37">
        <v>41</v>
      </c>
      <c r="Q37">
        <v>34</v>
      </c>
    </row>
    <row r="38" spans="1:17">
      <c r="A38" s="21" t="s">
        <v>24</v>
      </c>
      <c r="B38" s="21" t="s">
        <v>129</v>
      </c>
      <c r="C38" s="21" t="s">
        <v>130</v>
      </c>
      <c r="D38" s="21" t="s">
        <v>321</v>
      </c>
      <c r="E38" s="21" t="s">
        <v>418</v>
      </c>
      <c r="F38" s="21" t="s">
        <v>524</v>
      </c>
      <c r="G38" s="21" t="s">
        <v>41</v>
      </c>
      <c r="H38">
        <v>10</v>
      </c>
      <c r="I38">
        <v>180</v>
      </c>
      <c r="J38" s="30">
        <v>45992</v>
      </c>
      <c r="K38" s="21" t="s">
        <v>93</v>
      </c>
      <c r="L38">
        <v>51</v>
      </c>
      <c r="M38">
        <v>1800</v>
      </c>
      <c r="N38">
        <v>1749</v>
      </c>
      <c r="O38">
        <v>10</v>
      </c>
      <c r="P38">
        <v>1800</v>
      </c>
      <c r="Q38">
        <v>1749</v>
      </c>
    </row>
    <row r="39" spans="1:17">
      <c r="A39" s="21" t="s">
        <v>106</v>
      </c>
      <c r="B39" s="21" t="s">
        <v>131</v>
      </c>
      <c r="C39" s="21" t="s">
        <v>132</v>
      </c>
      <c r="D39" s="21" t="s">
        <v>133</v>
      </c>
      <c r="E39" s="21" t="s">
        <v>419</v>
      </c>
      <c r="F39" s="21" t="s">
        <v>527</v>
      </c>
      <c r="G39" s="21" t="s">
        <v>499</v>
      </c>
      <c r="H39">
        <v>1</v>
      </c>
      <c r="I39">
        <v>973</v>
      </c>
      <c r="J39" s="30">
        <v>45669</v>
      </c>
      <c r="K39" s="21" t="s">
        <v>49</v>
      </c>
      <c r="L39">
        <v>18</v>
      </c>
      <c r="M39">
        <v>973</v>
      </c>
      <c r="N39">
        <v>955</v>
      </c>
      <c r="O39">
        <v>1</v>
      </c>
      <c r="P39">
        <v>973</v>
      </c>
      <c r="Q39">
        <v>955</v>
      </c>
    </row>
    <row r="40" spans="1:17">
      <c r="A40" s="21" t="s">
        <v>112</v>
      </c>
      <c r="B40" s="21" t="s">
        <v>134</v>
      </c>
      <c r="C40" s="21" t="s">
        <v>135</v>
      </c>
      <c r="D40" s="21" t="s">
        <v>136</v>
      </c>
      <c r="E40" s="21" t="s">
        <v>506</v>
      </c>
      <c r="F40" s="21" t="s">
        <v>523</v>
      </c>
      <c r="G40" s="21" t="s">
        <v>36</v>
      </c>
      <c r="H40">
        <v>3</v>
      </c>
      <c r="I40">
        <v>761</v>
      </c>
      <c r="J40" s="30">
        <v>45669</v>
      </c>
      <c r="K40" s="21" t="s">
        <v>30</v>
      </c>
      <c r="L40">
        <v>1</v>
      </c>
      <c r="M40">
        <v>2283</v>
      </c>
      <c r="N40">
        <v>2282</v>
      </c>
      <c r="O40">
        <v>3</v>
      </c>
      <c r="P40">
        <v>2283</v>
      </c>
      <c r="Q40">
        <v>2282</v>
      </c>
    </row>
    <row r="41" spans="1:17">
      <c r="A41" s="21" t="s">
        <v>137</v>
      </c>
      <c r="B41" s="21" t="s">
        <v>138</v>
      </c>
      <c r="C41" s="21" t="s">
        <v>139</v>
      </c>
      <c r="D41" s="21" t="s">
        <v>322</v>
      </c>
      <c r="E41" s="21" t="s">
        <v>421</v>
      </c>
      <c r="F41" s="21" t="s">
        <v>525</v>
      </c>
      <c r="G41" s="21" t="s">
        <v>48</v>
      </c>
      <c r="H41">
        <v>8</v>
      </c>
      <c r="I41">
        <v>24</v>
      </c>
      <c r="J41" s="30">
        <v>45992</v>
      </c>
      <c r="K41" s="21" t="s">
        <v>37</v>
      </c>
      <c r="L41">
        <v>30</v>
      </c>
      <c r="M41">
        <v>192</v>
      </c>
      <c r="N41">
        <v>162</v>
      </c>
      <c r="O41">
        <v>8</v>
      </c>
      <c r="P41">
        <v>192</v>
      </c>
      <c r="Q41">
        <v>162</v>
      </c>
    </row>
    <row r="42" spans="1:17">
      <c r="A42" s="21" t="s">
        <v>78</v>
      </c>
      <c r="B42" s="21" t="s">
        <v>140</v>
      </c>
      <c r="C42" s="21" t="s">
        <v>141</v>
      </c>
      <c r="D42" s="21" t="s">
        <v>323</v>
      </c>
      <c r="E42" s="21" t="s">
        <v>422</v>
      </c>
      <c r="F42" s="21" t="s">
        <v>524</v>
      </c>
      <c r="G42" s="21" t="s">
        <v>41</v>
      </c>
      <c r="H42">
        <v>1</v>
      </c>
      <c r="I42">
        <v>14</v>
      </c>
      <c r="J42" s="30">
        <v>45669</v>
      </c>
      <c r="K42" s="21" t="s">
        <v>30</v>
      </c>
      <c r="L42">
        <v>29</v>
      </c>
      <c r="M42">
        <v>14</v>
      </c>
      <c r="N42">
        <v>-15</v>
      </c>
      <c r="O42">
        <v>1</v>
      </c>
      <c r="P42">
        <v>14</v>
      </c>
      <c r="Q42">
        <v>-15</v>
      </c>
    </row>
    <row r="43" spans="1:17">
      <c r="A43" s="21" t="s">
        <v>18</v>
      </c>
      <c r="B43" s="21" t="s">
        <v>123</v>
      </c>
      <c r="C43" s="21" t="s">
        <v>142</v>
      </c>
      <c r="D43" s="21" t="s">
        <v>324</v>
      </c>
      <c r="E43" s="21" t="s">
        <v>423</v>
      </c>
      <c r="F43" s="21" t="s">
        <v>523</v>
      </c>
      <c r="G43" s="21" t="s">
        <v>70</v>
      </c>
      <c r="H43">
        <v>1</v>
      </c>
      <c r="I43">
        <v>41</v>
      </c>
      <c r="J43" s="30">
        <v>45992</v>
      </c>
      <c r="K43" s="21" t="s">
        <v>49</v>
      </c>
      <c r="L43">
        <v>1</v>
      </c>
      <c r="M43">
        <v>41</v>
      </c>
      <c r="N43">
        <v>40</v>
      </c>
      <c r="O43">
        <v>1</v>
      </c>
      <c r="P43">
        <v>41</v>
      </c>
      <c r="Q43">
        <v>40</v>
      </c>
    </row>
    <row r="44" spans="1:17">
      <c r="A44" s="21" t="s">
        <v>106</v>
      </c>
      <c r="B44" s="21" t="s">
        <v>143</v>
      </c>
      <c r="C44" s="21" t="s">
        <v>144</v>
      </c>
      <c r="D44" s="21" t="s">
        <v>325</v>
      </c>
      <c r="E44" s="21" t="s">
        <v>424</v>
      </c>
      <c r="F44" s="21" t="s">
        <v>523</v>
      </c>
      <c r="G44" s="21" t="s">
        <v>41</v>
      </c>
      <c r="H44">
        <v>1</v>
      </c>
      <c r="I44">
        <v>349</v>
      </c>
      <c r="J44" s="30">
        <v>45992</v>
      </c>
      <c r="K44" s="21" t="s">
        <v>37</v>
      </c>
      <c r="L44">
        <v>43</v>
      </c>
      <c r="M44">
        <v>349</v>
      </c>
      <c r="N44">
        <v>306</v>
      </c>
      <c r="O44">
        <v>1</v>
      </c>
      <c r="P44">
        <v>349</v>
      </c>
      <c r="Q44">
        <v>306</v>
      </c>
    </row>
    <row r="45" spans="1:17">
      <c r="A45" s="21" t="s">
        <v>73</v>
      </c>
      <c r="B45" s="21" t="s">
        <v>145</v>
      </c>
      <c r="C45" s="21" t="s">
        <v>146</v>
      </c>
      <c r="D45" s="21" t="s">
        <v>326</v>
      </c>
      <c r="E45" s="21" t="s">
        <v>425</v>
      </c>
      <c r="F45" s="21" t="s">
        <v>525</v>
      </c>
      <c r="G45" s="21" t="s">
        <v>77</v>
      </c>
      <c r="H45">
        <v>10</v>
      </c>
      <c r="I45">
        <v>18</v>
      </c>
      <c r="J45" s="30">
        <v>45669</v>
      </c>
      <c r="K45" s="21" t="s">
        <v>49</v>
      </c>
      <c r="L45">
        <v>19</v>
      </c>
      <c r="M45">
        <v>180</v>
      </c>
      <c r="N45">
        <v>161</v>
      </c>
      <c r="O45">
        <v>10</v>
      </c>
      <c r="P45">
        <v>180</v>
      </c>
      <c r="Q45">
        <v>161</v>
      </c>
    </row>
    <row r="46" spans="1:17">
      <c r="A46" s="21" t="s">
        <v>106</v>
      </c>
      <c r="B46" s="21" t="s">
        <v>147</v>
      </c>
      <c r="C46" s="21" t="s">
        <v>148</v>
      </c>
      <c r="D46" s="21" t="s">
        <v>149</v>
      </c>
      <c r="E46" s="21" t="s">
        <v>426</v>
      </c>
      <c r="F46" s="21" t="s">
        <v>527</v>
      </c>
      <c r="G46" s="21" t="s">
        <v>70</v>
      </c>
      <c r="H46">
        <v>1</v>
      </c>
      <c r="I46">
        <v>30</v>
      </c>
      <c r="J46" s="30">
        <v>45669</v>
      </c>
      <c r="K46" s="21" t="s">
        <v>30</v>
      </c>
      <c r="L46">
        <v>4</v>
      </c>
      <c r="M46">
        <v>30</v>
      </c>
      <c r="N46">
        <v>26</v>
      </c>
      <c r="O46">
        <v>1</v>
      </c>
      <c r="P46">
        <v>30</v>
      </c>
      <c r="Q46">
        <v>26</v>
      </c>
    </row>
    <row r="47" spans="1:17">
      <c r="A47" s="21" t="s">
        <v>14</v>
      </c>
      <c r="B47" s="21" t="s">
        <v>150</v>
      </c>
      <c r="C47" s="21" t="s">
        <v>151</v>
      </c>
      <c r="D47" s="21" t="s">
        <v>152</v>
      </c>
      <c r="E47" s="21" t="s">
        <v>427</v>
      </c>
      <c r="F47" s="21" t="s">
        <v>523</v>
      </c>
      <c r="G47" s="21" t="s">
        <v>70</v>
      </c>
      <c r="H47">
        <v>1</v>
      </c>
      <c r="I47">
        <v>947</v>
      </c>
      <c r="J47" s="30">
        <v>45669</v>
      </c>
      <c r="K47" s="21" t="s">
        <v>49</v>
      </c>
      <c r="L47">
        <v>10</v>
      </c>
      <c r="M47">
        <v>947</v>
      </c>
      <c r="N47">
        <v>937</v>
      </c>
      <c r="O47">
        <v>1</v>
      </c>
      <c r="P47">
        <v>947</v>
      </c>
      <c r="Q47">
        <v>937</v>
      </c>
    </row>
    <row r="48" spans="1:17">
      <c r="A48" s="21" t="s">
        <v>103</v>
      </c>
      <c r="B48" s="21" t="s">
        <v>153</v>
      </c>
      <c r="C48" s="21" t="s">
        <v>490</v>
      </c>
      <c r="D48" s="21" t="s">
        <v>154</v>
      </c>
      <c r="E48" s="21" t="s">
        <v>428</v>
      </c>
      <c r="F48" s="21" t="s">
        <v>522</v>
      </c>
      <c r="G48" s="21" t="s">
        <v>23</v>
      </c>
      <c r="H48">
        <v>7</v>
      </c>
      <c r="I48">
        <v>714</v>
      </c>
      <c r="J48" s="30">
        <v>45669</v>
      </c>
      <c r="K48" s="21" t="s">
        <v>37</v>
      </c>
      <c r="L48">
        <v>119</v>
      </c>
      <c r="M48">
        <v>4998</v>
      </c>
      <c r="N48">
        <v>4879</v>
      </c>
      <c r="O48">
        <v>7</v>
      </c>
      <c r="P48">
        <v>4998</v>
      </c>
      <c r="Q48">
        <v>4879</v>
      </c>
    </row>
    <row r="49" spans="1:17">
      <c r="A49" s="21" t="s">
        <v>86</v>
      </c>
      <c r="B49" s="21" t="s">
        <v>98</v>
      </c>
      <c r="C49" s="21" t="s">
        <v>155</v>
      </c>
      <c r="D49" s="21" t="s">
        <v>156</v>
      </c>
      <c r="E49" s="21" t="s">
        <v>429</v>
      </c>
      <c r="F49" s="21" t="s">
        <v>524</v>
      </c>
      <c r="G49" s="21" t="s">
        <v>36</v>
      </c>
      <c r="H49">
        <v>6</v>
      </c>
      <c r="I49">
        <v>19</v>
      </c>
      <c r="J49" s="30">
        <v>45669</v>
      </c>
      <c r="K49" s="21" t="s">
        <v>37</v>
      </c>
      <c r="L49">
        <v>92</v>
      </c>
      <c r="M49">
        <v>114</v>
      </c>
      <c r="N49">
        <v>22</v>
      </c>
      <c r="O49">
        <v>6</v>
      </c>
      <c r="P49">
        <v>114</v>
      </c>
      <c r="Q49">
        <v>22</v>
      </c>
    </row>
    <row r="50" spans="1:17">
      <c r="A50" s="21" t="s">
        <v>14</v>
      </c>
      <c r="B50" s="21" t="s">
        <v>95</v>
      </c>
      <c r="C50" s="21" t="s">
        <v>157</v>
      </c>
      <c r="D50" s="21" t="s">
        <v>158</v>
      </c>
      <c r="E50" s="21" t="s">
        <v>507</v>
      </c>
      <c r="F50" s="21" t="s">
        <v>524</v>
      </c>
      <c r="G50" s="21" t="s">
        <v>41</v>
      </c>
      <c r="H50">
        <v>1</v>
      </c>
      <c r="I50">
        <v>777</v>
      </c>
      <c r="J50" s="30">
        <v>45992</v>
      </c>
      <c r="K50" s="21" t="s">
        <v>93</v>
      </c>
      <c r="L50">
        <v>13</v>
      </c>
      <c r="M50">
        <v>777</v>
      </c>
      <c r="N50">
        <v>764</v>
      </c>
      <c r="O50">
        <v>1</v>
      </c>
      <c r="P50">
        <v>777</v>
      </c>
      <c r="Q50">
        <v>764</v>
      </c>
    </row>
    <row r="51" spans="1:17">
      <c r="A51" s="21" t="s">
        <v>42</v>
      </c>
      <c r="B51" s="21" t="s">
        <v>67</v>
      </c>
      <c r="C51" s="21" t="s">
        <v>159</v>
      </c>
      <c r="D51" s="21" t="s">
        <v>327</v>
      </c>
      <c r="E51" s="21" t="s">
        <v>430</v>
      </c>
      <c r="F51" s="21" t="s">
        <v>526</v>
      </c>
      <c r="G51" s="21" t="s">
        <v>77</v>
      </c>
      <c r="H51">
        <v>1</v>
      </c>
      <c r="I51">
        <v>222</v>
      </c>
      <c r="J51" s="30">
        <v>45669</v>
      </c>
      <c r="K51" s="21" t="s">
        <v>37</v>
      </c>
      <c r="L51">
        <v>100</v>
      </c>
      <c r="M51">
        <v>222</v>
      </c>
      <c r="N51">
        <v>122</v>
      </c>
      <c r="O51">
        <v>1</v>
      </c>
      <c r="P51">
        <v>222</v>
      </c>
      <c r="Q51">
        <v>122</v>
      </c>
    </row>
    <row r="52" spans="1:17">
      <c r="A52" s="21" t="s">
        <v>56</v>
      </c>
      <c r="B52" s="21" t="s">
        <v>51</v>
      </c>
      <c r="C52" s="21" t="s">
        <v>491</v>
      </c>
      <c r="D52" s="21" t="s">
        <v>160</v>
      </c>
      <c r="E52" s="21" t="s">
        <v>431</v>
      </c>
      <c r="F52" s="21" t="s">
        <v>527</v>
      </c>
      <c r="G52" s="21" t="s">
        <v>70</v>
      </c>
      <c r="H52">
        <v>7</v>
      </c>
      <c r="I52">
        <v>275</v>
      </c>
      <c r="J52" s="30">
        <v>45992</v>
      </c>
      <c r="K52" s="21" t="s">
        <v>30</v>
      </c>
      <c r="L52">
        <v>2</v>
      </c>
      <c r="M52">
        <v>1925</v>
      </c>
      <c r="N52">
        <v>1923</v>
      </c>
      <c r="O52">
        <v>7</v>
      </c>
      <c r="P52">
        <v>1925</v>
      </c>
      <c r="Q52">
        <v>1923</v>
      </c>
    </row>
    <row r="53" spans="1:17">
      <c r="A53" s="21" t="s">
        <v>27</v>
      </c>
      <c r="B53" s="21" t="s">
        <v>59</v>
      </c>
      <c r="C53" s="21" t="s">
        <v>161</v>
      </c>
      <c r="D53" s="21" t="s">
        <v>162</v>
      </c>
      <c r="E53" s="21" t="s">
        <v>508</v>
      </c>
      <c r="F53" s="21" t="s">
        <v>522</v>
      </c>
      <c r="G53" s="21" t="s">
        <v>48</v>
      </c>
      <c r="H53">
        <v>10</v>
      </c>
      <c r="I53">
        <v>205</v>
      </c>
      <c r="J53" s="30">
        <v>45992</v>
      </c>
      <c r="K53" s="21" t="s">
        <v>30</v>
      </c>
      <c r="L53">
        <v>29</v>
      </c>
      <c r="M53">
        <v>2050</v>
      </c>
      <c r="N53">
        <v>2021</v>
      </c>
      <c r="O53">
        <v>10</v>
      </c>
      <c r="P53">
        <v>2050</v>
      </c>
      <c r="Q53">
        <v>2021</v>
      </c>
    </row>
    <row r="54" spans="1:17">
      <c r="A54" s="21" t="s">
        <v>14</v>
      </c>
      <c r="B54" s="21" t="s">
        <v>163</v>
      </c>
      <c r="C54" s="21" t="s">
        <v>164</v>
      </c>
      <c r="D54" s="21" t="s">
        <v>328</v>
      </c>
      <c r="E54" s="21" t="s">
        <v>432</v>
      </c>
      <c r="F54" s="21" t="s">
        <v>523</v>
      </c>
      <c r="G54" s="21" t="s">
        <v>36</v>
      </c>
      <c r="H54">
        <v>6</v>
      </c>
      <c r="I54">
        <v>417</v>
      </c>
      <c r="J54" s="30">
        <v>45992</v>
      </c>
      <c r="K54" s="21" t="s">
        <v>37</v>
      </c>
      <c r="L54">
        <v>26</v>
      </c>
      <c r="M54">
        <v>2502</v>
      </c>
      <c r="N54">
        <v>2476</v>
      </c>
      <c r="O54">
        <v>6</v>
      </c>
      <c r="P54">
        <v>2502</v>
      </c>
      <c r="Q54">
        <v>2476</v>
      </c>
    </row>
    <row r="55" spans="1:17">
      <c r="A55" s="21" t="s">
        <v>14</v>
      </c>
      <c r="B55" s="21" t="s">
        <v>165</v>
      </c>
      <c r="C55" s="21" t="s">
        <v>166</v>
      </c>
      <c r="D55" s="21" t="s">
        <v>329</v>
      </c>
      <c r="E55" s="21" t="s">
        <v>433</v>
      </c>
      <c r="F55" s="21" t="s">
        <v>526</v>
      </c>
      <c r="G55" s="21" t="s">
        <v>48</v>
      </c>
      <c r="H55">
        <v>10</v>
      </c>
      <c r="I55">
        <v>353</v>
      </c>
      <c r="J55" s="30">
        <v>45669</v>
      </c>
      <c r="K55" s="21" t="s">
        <v>93</v>
      </c>
      <c r="L55">
        <v>11</v>
      </c>
      <c r="M55">
        <v>3530</v>
      </c>
      <c r="N55">
        <v>3519</v>
      </c>
      <c r="O55">
        <v>10</v>
      </c>
      <c r="P55">
        <v>3530</v>
      </c>
      <c r="Q55">
        <v>3519</v>
      </c>
    </row>
    <row r="56" spans="1:17">
      <c r="A56" s="21" t="s">
        <v>78</v>
      </c>
      <c r="B56" s="21" t="s">
        <v>167</v>
      </c>
      <c r="C56" s="21" t="s">
        <v>168</v>
      </c>
      <c r="D56" s="21" t="s">
        <v>169</v>
      </c>
      <c r="E56" s="21" t="s">
        <v>434</v>
      </c>
      <c r="F56" s="21" t="s">
        <v>524</v>
      </c>
      <c r="G56" s="21" t="s">
        <v>41</v>
      </c>
      <c r="H56">
        <v>1</v>
      </c>
      <c r="I56">
        <v>771</v>
      </c>
      <c r="J56" s="30">
        <v>45669</v>
      </c>
      <c r="K56" s="21" t="s">
        <v>93</v>
      </c>
      <c r="L56">
        <v>9</v>
      </c>
      <c r="M56">
        <v>771</v>
      </c>
      <c r="N56">
        <v>762</v>
      </c>
      <c r="O56">
        <v>1</v>
      </c>
      <c r="P56">
        <v>771</v>
      </c>
      <c r="Q56">
        <v>762</v>
      </c>
    </row>
    <row r="57" spans="1:17">
      <c r="A57" s="21" t="s">
        <v>73</v>
      </c>
      <c r="B57" s="21" t="s">
        <v>83</v>
      </c>
      <c r="C57" s="21" t="s">
        <v>492</v>
      </c>
      <c r="D57" s="21" t="s">
        <v>330</v>
      </c>
      <c r="E57" s="21" t="s">
        <v>509</v>
      </c>
      <c r="F57" s="21" t="s">
        <v>524</v>
      </c>
      <c r="G57" s="21" t="s">
        <v>23</v>
      </c>
      <c r="H57">
        <v>9</v>
      </c>
      <c r="I57">
        <v>777</v>
      </c>
      <c r="J57" s="30">
        <v>45992</v>
      </c>
      <c r="K57" s="21" t="s">
        <v>93</v>
      </c>
      <c r="L57">
        <v>86</v>
      </c>
      <c r="M57">
        <v>6993</v>
      </c>
      <c r="N57">
        <v>6907</v>
      </c>
      <c r="O57">
        <v>9</v>
      </c>
      <c r="P57">
        <v>6993</v>
      </c>
      <c r="Q57">
        <v>6907</v>
      </c>
    </row>
    <row r="58" spans="1:17">
      <c r="A58" s="21" t="s">
        <v>170</v>
      </c>
      <c r="B58" s="21" t="s">
        <v>171</v>
      </c>
      <c r="C58" s="21" t="s">
        <v>172</v>
      </c>
      <c r="D58" s="21" t="s">
        <v>331</v>
      </c>
      <c r="E58" s="21" t="s">
        <v>435</v>
      </c>
      <c r="F58" s="21" t="s">
        <v>524</v>
      </c>
      <c r="G58" s="21" t="s">
        <v>41</v>
      </c>
      <c r="H58">
        <v>1</v>
      </c>
      <c r="I58">
        <v>42</v>
      </c>
      <c r="J58" s="30">
        <v>45669</v>
      </c>
      <c r="K58" s="21" t="s">
        <v>49</v>
      </c>
      <c r="L58">
        <v>31</v>
      </c>
      <c r="M58">
        <v>42</v>
      </c>
      <c r="N58">
        <v>11</v>
      </c>
      <c r="O58">
        <v>1</v>
      </c>
      <c r="P58">
        <v>42</v>
      </c>
      <c r="Q58">
        <v>11</v>
      </c>
    </row>
    <row r="59" spans="1:17">
      <c r="A59" s="21" t="s">
        <v>137</v>
      </c>
      <c r="B59" s="21" t="s">
        <v>173</v>
      </c>
      <c r="C59" s="21" t="s">
        <v>174</v>
      </c>
      <c r="D59" s="21" t="s">
        <v>332</v>
      </c>
      <c r="E59" s="21" t="s">
        <v>510</v>
      </c>
      <c r="F59" s="21" t="s">
        <v>522</v>
      </c>
      <c r="G59" s="21" t="s">
        <v>70</v>
      </c>
      <c r="H59">
        <v>1</v>
      </c>
      <c r="I59">
        <v>457</v>
      </c>
      <c r="J59" s="30">
        <v>45669</v>
      </c>
      <c r="K59" s="21" t="s">
        <v>49</v>
      </c>
      <c r="L59">
        <v>118</v>
      </c>
      <c r="M59">
        <v>457</v>
      </c>
      <c r="N59">
        <v>339</v>
      </c>
      <c r="O59">
        <v>1</v>
      </c>
      <c r="P59">
        <v>457</v>
      </c>
      <c r="Q59">
        <v>339</v>
      </c>
    </row>
    <row r="60" spans="1:17">
      <c r="A60" s="21" t="s">
        <v>24</v>
      </c>
      <c r="B60" s="21" t="s">
        <v>175</v>
      </c>
      <c r="C60" s="21" t="s">
        <v>176</v>
      </c>
      <c r="D60" s="21" t="s">
        <v>333</v>
      </c>
      <c r="E60" s="21" t="s">
        <v>436</v>
      </c>
      <c r="F60" s="21" t="s">
        <v>524</v>
      </c>
      <c r="G60" s="21" t="s">
        <v>499</v>
      </c>
      <c r="H60">
        <v>1</v>
      </c>
      <c r="I60">
        <v>119</v>
      </c>
      <c r="J60" s="30">
        <v>45992</v>
      </c>
      <c r="K60" s="21" t="s">
        <v>93</v>
      </c>
      <c r="L60">
        <v>3</v>
      </c>
      <c r="M60">
        <v>119</v>
      </c>
      <c r="N60">
        <v>116</v>
      </c>
      <c r="O60">
        <v>1</v>
      </c>
      <c r="P60">
        <v>119</v>
      </c>
      <c r="Q60">
        <v>116</v>
      </c>
    </row>
    <row r="61" spans="1:17">
      <c r="A61" s="21" t="s">
        <v>112</v>
      </c>
      <c r="B61" s="21" t="s">
        <v>15</v>
      </c>
      <c r="C61" s="21" t="s">
        <v>177</v>
      </c>
      <c r="D61" s="21" t="s">
        <v>334</v>
      </c>
      <c r="E61" s="21" t="s">
        <v>437</v>
      </c>
      <c r="F61" s="21" t="s">
        <v>522</v>
      </c>
      <c r="G61" s="21" t="s">
        <v>500</v>
      </c>
      <c r="H61">
        <v>1</v>
      </c>
      <c r="I61">
        <v>346</v>
      </c>
      <c r="J61" s="30">
        <v>45992</v>
      </c>
      <c r="K61" s="21" t="s">
        <v>37</v>
      </c>
      <c r="L61">
        <v>16</v>
      </c>
      <c r="M61">
        <v>346</v>
      </c>
      <c r="N61">
        <v>330</v>
      </c>
      <c r="O61">
        <v>1</v>
      </c>
      <c r="P61">
        <v>346</v>
      </c>
      <c r="Q61">
        <v>330</v>
      </c>
    </row>
    <row r="62" spans="1:17">
      <c r="A62" s="21" t="s">
        <v>42</v>
      </c>
      <c r="B62" s="21" t="s">
        <v>178</v>
      </c>
      <c r="C62" s="21" t="s">
        <v>179</v>
      </c>
      <c r="D62" s="21" t="s">
        <v>335</v>
      </c>
      <c r="E62" s="21" t="s">
        <v>438</v>
      </c>
      <c r="F62" s="21" t="s">
        <v>524</v>
      </c>
      <c r="G62" s="21" t="s">
        <v>23</v>
      </c>
      <c r="H62">
        <v>10</v>
      </c>
      <c r="I62">
        <v>460</v>
      </c>
      <c r="J62" s="30">
        <v>45669</v>
      </c>
      <c r="K62" s="21" t="s">
        <v>30</v>
      </c>
      <c r="L62">
        <v>26</v>
      </c>
      <c r="M62">
        <v>4600</v>
      </c>
      <c r="N62">
        <v>4574</v>
      </c>
      <c r="O62">
        <v>10</v>
      </c>
      <c r="P62">
        <v>4600</v>
      </c>
      <c r="Q62">
        <v>4574</v>
      </c>
    </row>
    <row r="63" spans="1:17">
      <c r="A63" s="21" t="s">
        <v>86</v>
      </c>
      <c r="B63" s="21" t="s">
        <v>32</v>
      </c>
      <c r="C63" s="21" t="s">
        <v>493</v>
      </c>
      <c r="D63" s="21" t="s">
        <v>180</v>
      </c>
      <c r="E63" s="21" t="s">
        <v>439</v>
      </c>
      <c r="F63" s="21" t="s">
        <v>526</v>
      </c>
      <c r="G63" s="21" t="s">
        <v>77</v>
      </c>
      <c r="H63">
        <v>1</v>
      </c>
      <c r="I63">
        <v>227</v>
      </c>
      <c r="J63" s="30">
        <v>45669</v>
      </c>
      <c r="K63" s="21" t="s">
        <v>49</v>
      </c>
      <c r="L63">
        <v>28</v>
      </c>
      <c r="M63">
        <v>227</v>
      </c>
      <c r="N63">
        <v>199</v>
      </c>
      <c r="O63">
        <v>1</v>
      </c>
      <c r="P63">
        <v>227</v>
      </c>
      <c r="Q63">
        <v>199</v>
      </c>
    </row>
    <row r="64" spans="1:17">
      <c r="A64" s="21" t="s">
        <v>100</v>
      </c>
      <c r="B64" s="21" t="s">
        <v>163</v>
      </c>
      <c r="C64" s="21" t="s">
        <v>181</v>
      </c>
      <c r="D64" s="21" t="s">
        <v>336</v>
      </c>
      <c r="E64" s="21" t="s">
        <v>440</v>
      </c>
      <c r="F64" s="21" t="s">
        <v>525</v>
      </c>
      <c r="G64" s="21" t="s">
        <v>36</v>
      </c>
      <c r="H64">
        <v>10</v>
      </c>
      <c r="I64">
        <v>554</v>
      </c>
      <c r="J64" s="30">
        <v>45669</v>
      </c>
      <c r="K64" s="21" t="s">
        <v>37</v>
      </c>
      <c r="L64">
        <v>19</v>
      </c>
      <c r="M64">
        <v>5540</v>
      </c>
      <c r="N64">
        <v>5521</v>
      </c>
      <c r="O64">
        <v>10</v>
      </c>
      <c r="P64">
        <v>5540</v>
      </c>
      <c r="Q64">
        <v>5521</v>
      </c>
    </row>
    <row r="65" spans="1:17">
      <c r="A65" s="21" t="s">
        <v>14</v>
      </c>
      <c r="B65" s="21" t="s">
        <v>95</v>
      </c>
      <c r="C65" s="21" t="s">
        <v>182</v>
      </c>
      <c r="D65" s="21" t="s">
        <v>183</v>
      </c>
      <c r="E65" s="21" t="s">
        <v>511</v>
      </c>
      <c r="F65" s="21" t="s">
        <v>524</v>
      </c>
      <c r="G65" s="21" t="s">
        <v>48</v>
      </c>
      <c r="H65">
        <v>10</v>
      </c>
      <c r="I65">
        <v>257</v>
      </c>
      <c r="J65" s="30">
        <v>45669</v>
      </c>
      <c r="K65" s="21" t="s">
        <v>55</v>
      </c>
      <c r="L65">
        <v>103</v>
      </c>
      <c r="M65">
        <v>2570</v>
      </c>
      <c r="N65">
        <v>2467</v>
      </c>
      <c r="O65">
        <v>10</v>
      </c>
      <c r="P65">
        <v>2570</v>
      </c>
      <c r="Q65">
        <v>2467</v>
      </c>
    </row>
    <row r="66" spans="1:17">
      <c r="A66" s="21" t="s">
        <v>137</v>
      </c>
      <c r="B66" s="21" t="s">
        <v>184</v>
      </c>
      <c r="C66" s="21" t="s">
        <v>185</v>
      </c>
      <c r="D66" s="21" t="s">
        <v>337</v>
      </c>
      <c r="E66" s="21" t="s">
        <v>441</v>
      </c>
      <c r="F66" s="21" t="s">
        <v>525</v>
      </c>
      <c r="G66" s="21" t="s">
        <v>499</v>
      </c>
      <c r="H66">
        <v>1</v>
      </c>
      <c r="I66">
        <v>810</v>
      </c>
      <c r="J66" s="30">
        <v>45669</v>
      </c>
      <c r="K66" s="21" t="s">
        <v>30</v>
      </c>
      <c r="L66">
        <v>8</v>
      </c>
      <c r="M66">
        <v>810</v>
      </c>
      <c r="N66">
        <v>802</v>
      </c>
      <c r="O66">
        <v>1</v>
      </c>
      <c r="P66">
        <v>810</v>
      </c>
      <c r="Q66">
        <v>802</v>
      </c>
    </row>
    <row r="67" spans="1:17">
      <c r="A67" s="21" t="s">
        <v>106</v>
      </c>
      <c r="B67" s="21" t="s">
        <v>67</v>
      </c>
      <c r="C67" s="21" t="s">
        <v>186</v>
      </c>
      <c r="D67" s="21" t="s">
        <v>338</v>
      </c>
      <c r="E67" s="21" t="s">
        <v>512</v>
      </c>
      <c r="F67" s="21" t="s">
        <v>524</v>
      </c>
      <c r="G67" s="21" t="s">
        <v>77</v>
      </c>
      <c r="H67">
        <v>1</v>
      </c>
      <c r="I67">
        <v>45</v>
      </c>
      <c r="J67" s="30">
        <v>45669</v>
      </c>
      <c r="K67" s="21" t="s">
        <v>55</v>
      </c>
      <c r="L67">
        <v>109</v>
      </c>
      <c r="M67">
        <v>45</v>
      </c>
      <c r="N67">
        <v>-64</v>
      </c>
      <c r="O67">
        <v>1</v>
      </c>
      <c r="P67">
        <v>45</v>
      </c>
      <c r="Q67">
        <v>-64</v>
      </c>
    </row>
    <row r="68" spans="1:17">
      <c r="A68" s="21" t="s">
        <v>24</v>
      </c>
      <c r="B68" s="21" t="s">
        <v>138</v>
      </c>
      <c r="C68" s="21" t="s">
        <v>187</v>
      </c>
      <c r="D68" s="21" t="s">
        <v>339</v>
      </c>
      <c r="E68" s="21" t="s">
        <v>442</v>
      </c>
      <c r="F68" s="21" t="s">
        <v>522</v>
      </c>
      <c r="G68" s="21" t="s">
        <v>29</v>
      </c>
      <c r="H68">
        <v>10</v>
      </c>
      <c r="I68">
        <v>543</v>
      </c>
      <c r="J68" s="30">
        <v>45992</v>
      </c>
      <c r="K68" s="21" t="s">
        <v>93</v>
      </c>
      <c r="L68">
        <v>29</v>
      </c>
      <c r="M68">
        <v>5430</v>
      </c>
      <c r="N68">
        <v>5401</v>
      </c>
      <c r="O68">
        <v>10</v>
      </c>
      <c r="P68">
        <v>5430</v>
      </c>
      <c r="Q68">
        <v>5401</v>
      </c>
    </row>
    <row r="69" spans="1:17">
      <c r="A69" s="21" t="s">
        <v>73</v>
      </c>
      <c r="B69" s="21" t="s">
        <v>188</v>
      </c>
      <c r="C69" s="21" t="s">
        <v>189</v>
      </c>
      <c r="D69" s="21" t="s">
        <v>190</v>
      </c>
      <c r="E69" s="21" t="s">
        <v>443</v>
      </c>
      <c r="F69" s="21" t="s">
        <v>522</v>
      </c>
      <c r="G69" s="21" t="s">
        <v>41</v>
      </c>
      <c r="H69">
        <v>10</v>
      </c>
      <c r="I69">
        <v>739</v>
      </c>
      <c r="J69" s="30">
        <v>45992</v>
      </c>
      <c r="K69" s="21" t="s">
        <v>30</v>
      </c>
      <c r="L69">
        <v>0</v>
      </c>
      <c r="M69">
        <v>7390</v>
      </c>
      <c r="N69">
        <v>7390</v>
      </c>
      <c r="O69">
        <v>10</v>
      </c>
      <c r="P69">
        <v>7390</v>
      </c>
      <c r="Q69">
        <v>7390</v>
      </c>
    </row>
    <row r="70" spans="1:17">
      <c r="A70" s="21" t="s">
        <v>64</v>
      </c>
      <c r="B70" s="21" t="s">
        <v>191</v>
      </c>
      <c r="C70" s="21" t="s">
        <v>192</v>
      </c>
      <c r="D70" s="21" t="s">
        <v>340</v>
      </c>
      <c r="E70" s="21" t="s">
        <v>444</v>
      </c>
      <c r="F70" s="21" t="s">
        <v>523</v>
      </c>
      <c r="G70" s="21" t="s">
        <v>499</v>
      </c>
      <c r="H70">
        <v>10</v>
      </c>
      <c r="I70">
        <v>525</v>
      </c>
      <c r="J70" s="30">
        <v>45669</v>
      </c>
      <c r="K70" s="21" t="s">
        <v>30</v>
      </c>
      <c r="L70">
        <v>77</v>
      </c>
      <c r="M70">
        <v>5250</v>
      </c>
      <c r="N70">
        <v>5173</v>
      </c>
      <c r="O70">
        <v>10</v>
      </c>
      <c r="P70">
        <v>5250</v>
      </c>
      <c r="Q70">
        <v>5173</v>
      </c>
    </row>
    <row r="71" spans="1:17">
      <c r="A71" s="21" t="s">
        <v>73</v>
      </c>
      <c r="B71" s="21" t="s">
        <v>193</v>
      </c>
      <c r="C71" s="21" t="s">
        <v>194</v>
      </c>
      <c r="D71" s="21" t="s">
        <v>341</v>
      </c>
      <c r="E71" s="21" t="s">
        <v>445</v>
      </c>
      <c r="F71" s="21" t="s">
        <v>525</v>
      </c>
      <c r="G71" s="21" t="s">
        <v>41</v>
      </c>
      <c r="H71">
        <v>1</v>
      </c>
      <c r="I71">
        <v>691</v>
      </c>
      <c r="J71" s="30">
        <v>45669</v>
      </c>
      <c r="K71" s="21" t="s">
        <v>30</v>
      </c>
      <c r="L71">
        <v>15</v>
      </c>
      <c r="M71">
        <v>691</v>
      </c>
      <c r="N71">
        <v>676</v>
      </c>
      <c r="O71">
        <v>1</v>
      </c>
      <c r="P71">
        <v>691</v>
      </c>
      <c r="Q71">
        <v>676</v>
      </c>
    </row>
    <row r="72" spans="1:17">
      <c r="A72" s="21" t="s">
        <v>112</v>
      </c>
      <c r="B72" s="21" t="s">
        <v>195</v>
      </c>
      <c r="C72" s="21" t="s">
        <v>196</v>
      </c>
      <c r="D72" s="21" t="s">
        <v>342</v>
      </c>
      <c r="E72" s="21" t="s">
        <v>446</v>
      </c>
      <c r="F72" s="21" t="s">
        <v>523</v>
      </c>
      <c r="G72" s="21" t="s">
        <v>29</v>
      </c>
      <c r="H72">
        <v>1</v>
      </c>
      <c r="I72">
        <v>370</v>
      </c>
      <c r="J72" s="30">
        <v>45669</v>
      </c>
      <c r="K72" s="21" t="s">
        <v>55</v>
      </c>
      <c r="L72">
        <v>1</v>
      </c>
      <c r="M72">
        <v>370</v>
      </c>
      <c r="N72">
        <v>369</v>
      </c>
      <c r="O72">
        <v>1</v>
      </c>
      <c r="P72">
        <v>370</v>
      </c>
      <c r="Q72">
        <v>369</v>
      </c>
    </row>
    <row r="73" spans="1:17">
      <c r="A73" s="21" t="s">
        <v>56</v>
      </c>
      <c r="B73" s="21" t="s">
        <v>188</v>
      </c>
      <c r="C73" s="21" t="s">
        <v>494</v>
      </c>
      <c r="D73" s="21" t="s">
        <v>343</v>
      </c>
      <c r="E73" s="21" t="s">
        <v>447</v>
      </c>
      <c r="F73" s="21" t="s">
        <v>522</v>
      </c>
      <c r="G73" s="21" t="s">
        <v>500</v>
      </c>
      <c r="H73">
        <v>1</v>
      </c>
      <c r="I73">
        <v>612</v>
      </c>
      <c r="J73" s="30">
        <v>45669</v>
      </c>
      <c r="K73" s="21" t="s">
        <v>30</v>
      </c>
      <c r="L73">
        <v>25</v>
      </c>
      <c r="M73">
        <v>612</v>
      </c>
      <c r="N73">
        <v>587</v>
      </c>
      <c r="O73">
        <v>1</v>
      </c>
      <c r="P73">
        <v>612</v>
      </c>
      <c r="Q73">
        <v>587</v>
      </c>
    </row>
    <row r="74" spans="1:17">
      <c r="A74" s="21" t="s">
        <v>106</v>
      </c>
      <c r="B74" s="21" t="s">
        <v>145</v>
      </c>
      <c r="C74" s="21" t="s">
        <v>197</v>
      </c>
      <c r="D74" s="21" t="s">
        <v>198</v>
      </c>
      <c r="E74" s="21" t="s">
        <v>448</v>
      </c>
      <c r="F74" s="21" t="s">
        <v>527</v>
      </c>
      <c r="G74" s="21" t="s">
        <v>36</v>
      </c>
      <c r="H74">
        <v>1</v>
      </c>
      <c r="I74">
        <v>789</v>
      </c>
      <c r="J74" s="30">
        <v>45669</v>
      </c>
      <c r="K74" s="21" t="s">
        <v>93</v>
      </c>
      <c r="L74">
        <v>68</v>
      </c>
      <c r="M74">
        <v>789</v>
      </c>
      <c r="N74">
        <v>721</v>
      </c>
      <c r="O74">
        <v>1</v>
      </c>
      <c r="P74">
        <v>789</v>
      </c>
      <c r="Q74">
        <v>721</v>
      </c>
    </row>
    <row r="75" spans="1:17">
      <c r="A75" s="21" t="s">
        <v>86</v>
      </c>
      <c r="B75" s="21" t="s">
        <v>199</v>
      </c>
      <c r="C75" s="21" t="s">
        <v>200</v>
      </c>
      <c r="D75" s="21" t="s">
        <v>344</v>
      </c>
      <c r="E75" s="21" t="s">
        <v>513</v>
      </c>
      <c r="F75" s="21" t="s">
        <v>523</v>
      </c>
      <c r="G75" s="21" t="s">
        <v>92</v>
      </c>
      <c r="H75">
        <v>10</v>
      </c>
      <c r="I75">
        <v>807</v>
      </c>
      <c r="J75" s="30">
        <v>45669</v>
      </c>
      <c r="K75" s="21" t="s">
        <v>93</v>
      </c>
      <c r="L75">
        <v>110</v>
      </c>
      <c r="M75">
        <v>8070</v>
      </c>
      <c r="N75">
        <v>7960</v>
      </c>
      <c r="O75">
        <v>10</v>
      </c>
      <c r="P75">
        <v>8070</v>
      </c>
      <c r="Q75">
        <v>7960</v>
      </c>
    </row>
    <row r="76" spans="1:17">
      <c r="A76" s="21" t="s">
        <v>137</v>
      </c>
      <c r="B76" s="21" t="s">
        <v>45</v>
      </c>
      <c r="C76" s="21" t="s">
        <v>201</v>
      </c>
      <c r="D76" s="21" t="s">
        <v>345</v>
      </c>
      <c r="E76" s="21" t="s">
        <v>449</v>
      </c>
      <c r="F76" s="21" t="s">
        <v>523</v>
      </c>
      <c r="G76" s="21" t="s">
        <v>36</v>
      </c>
      <c r="H76">
        <v>10</v>
      </c>
      <c r="I76">
        <v>385</v>
      </c>
      <c r="J76" s="30">
        <v>45669</v>
      </c>
      <c r="K76" s="21" t="s">
        <v>55</v>
      </c>
      <c r="L76">
        <v>63</v>
      </c>
      <c r="M76">
        <v>3850</v>
      </c>
      <c r="N76">
        <v>3787</v>
      </c>
      <c r="O76">
        <v>10</v>
      </c>
      <c r="P76">
        <v>3850</v>
      </c>
      <c r="Q76">
        <v>3787</v>
      </c>
    </row>
    <row r="77" spans="1:17">
      <c r="A77" s="21" t="s">
        <v>86</v>
      </c>
      <c r="B77" s="21" t="s">
        <v>202</v>
      </c>
      <c r="C77" s="21" t="s">
        <v>203</v>
      </c>
      <c r="D77" s="21" t="s">
        <v>346</v>
      </c>
      <c r="E77" s="21" t="s">
        <v>514</v>
      </c>
      <c r="F77" s="21" t="s">
        <v>523</v>
      </c>
      <c r="G77" s="21" t="s">
        <v>499</v>
      </c>
      <c r="H77">
        <v>10</v>
      </c>
      <c r="I77">
        <v>947</v>
      </c>
      <c r="J77" s="30">
        <v>45669</v>
      </c>
      <c r="K77" s="21" t="s">
        <v>93</v>
      </c>
      <c r="L77">
        <v>59</v>
      </c>
      <c r="M77">
        <v>9470</v>
      </c>
      <c r="N77">
        <v>9411</v>
      </c>
      <c r="O77">
        <v>10</v>
      </c>
      <c r="P77">
        <v>9470</v>
      </c>
      <c r="Q77">
        <v>9411</v>
      </c>
    </row>
    <row r="78" spans="1:17">
      <c r="A78" s="21" t="s">
        <v>94</v>
      </c>
      <c r="B78" s="21" t="s">
        <v>204</v>
      </c>
      <c r="C78" s="21" t="s">
        <v>495</v>
      </c>
      <c r="D78" s="21" t="s">
        <v>347</v>
      </c>
      <c r="E78" s="21" t="s">
        <v>450</v>
      </c>
      <c r="F78" s="21" t="s">
        <v>524</v>
      </c>
      <c r="G78" s="21" t="s">
        <v>499</v>
      </c>
      <c r="H78">
        <v>1</v>
      </c>
      <c r="I78">
        <v>428</v>
      </c>
      <c r="J78" s="30">
        <v>45992</v>
      </c>
      <c r="K78" s="21" t="s">
        <v>37</v>
      </c>
      <c r="L78">
        <v>49</v>
      </c>
      <c r="M78">
        <v>428</v>
      </c>
      <c r="N78">
        <v>379</v>
      </c>
      <c r="O78">
        <v>1</v>
      </c>
      <c r="P78">
        <v>428</v>
      </c>
      <c r="Q78">
        <v>379</v>
      </c>
    </row>
    <row r="79" spans="1:17">
      <c r="A79" s="21" t="s">
        <v>18</v>
      </c>
      <c r="B79" s="21" t="s">
        <v>115</v>
      </c>
      <c r="C79" s="21" t="s">
        <v>205</v>
      </c>
      <c r="D79" s="21" t="s">
        <v>348</v>
      </c>
      <c r="E79" s="21" t="s">
        <v>451</v>
      </c>
      <c r="F79" s="21" t="s">
        <v>527</v>
      </c>
      <c r="G79" s="21" t="s">
        <v>29</v>
      </c>
      <c r="H79">
        <v>1</v>
      </c>
      <c r="I79">
        <v>297</v>
      </c>
      <c r="J79" s="30">
        <v>45669</v>
      </c>
      <c r="K79" s="21" t="s">
        <v>30</v>
      </c>
      <c r="L79">
        <v>20</v>
      </c>
      <c r="M79">
        <v>297</v>
      </c>
      <c r="N79">
        <v>277</v>
      </c>
      <c r="O79">
        <v>1</v>
      </c>
      <c r="P79">
        <v>297</v>
      </c>
      <c r="Q79">
        <v>277</v>
      </c>
    </row>
    <row r="80" spans="1:17">
      <c r="A80" s="21" t="s">
        <v>100</v>
      </c>
      <c r="B80" s="21" t="s">
        <v>28</v>
      </c>
      <c r="C80" s="21" t="s">
        <v>206</v>
      </c>
      <c r="D80" s="21" t="s">
        <v>207</v>
      </c>
      <c r="E80" s="21" t="s">
        <v>452</v>
      </c>
      <c r="F80" s="21" t="s">
        <v>524</v>
      </c>
      <c r="G80" s="21" t="s">
        <v>77</v>
      </c>
      <c r="H80">
        <v>10</v>
      </c>
      <c r="I80">
        <v>871</v>
      </c>
      <c r="J80" s="30">
        <v>45669</v>
      </c>
      <c r="K80" s="21" t="s">
        <v>55</v>
      </c>
      <c r="L80">
        <v>8</v>
      </c>
      <c r="M80">
        <v>8710</v>
      </c>
      <c r="N80">
        <v>8702</v>
      </c>
      <c r="O80">
        <v>10</v>
      </c>
      <c r="P80">
        <v>8710</v>
      </c>
      <c r="Q80">
        <v>8702</v>
      </c>
    </row>
    <row r="81" spans="1:17">
      <c r="A81" s="21" t="s">
        <v>27</v>
      </c>
      <c r="B81" s="21" t="s">
        <v>95</v>
      </c>
      <c r="C81" s="21" t="s">
        <v>208</v>
      </c>
      <c r="D81" s="21" t="s">
        <v>349</v>
      </c>
      <c r="E81" s="21" t="s">
        <v>515</v>
      </c>
      <c r="F81" s="21" t="s">
        <v>527</v>
      </c>
      <c r="G81" s="21" t="s">
        <v>41</v>
      </c>
      <c r="H81">
        <v>1</v>
      </c>
      <c r="I81">
        <v>875</v>
      </c>
      <c r="J81" s="30">
        <v>45669</v>
      </c>
      <c r="K81" s="21" t="s">
        <v>37</v>
      </c>
      <c r="L81">
        <v>16</v>
      </c>
      <c r="M81">
        <v>875</v>
      </c>
      <c r="N81">
        <v>859</v>
      </c>
      <c r="O81">
        <v>1</v>
      </c>
      <c r="P81">
        <v>875</v>
      </c>
      <c r="Q81">
        <v>859</v>
      </c>
    </row>
    <row r="82" spans="1:17">
      <c r="A82" s="21" t="s">
        <v>209</v>
      </c>
      <c r="B82" s="21" t="s">
        <v>165</v>
      </c>
      <c r="C82" s="21" t="s">
        <v>210</v>
      </c>
      <c r="D82" s="21" t="s">
        <v>211</v>
      </c>
      <c r="E82" s="21" t="s">
        <v>454</v>
      </c>
      <c r="F82" s="21" t="s">
        <v>523</v>
      </c>
      <c r="G82" s="21" t="s">
        <v>41</v>
      </c>
      <c r="H82">
        <v>1</v>
      </c>
      <c r="I82">
        <v>928</v>
      </c>
      <c r="J82" s="30">
        <v>45669</v>
      </c>
      <c r="K82" s="21" t="s">
        <v>93</v>
      </c>
      <c r="L82">
        <v>96</v>
      </c>
      <c r="M82">
        <v>928</v>
      </c>
      <c r="N82">
        <v>832</v>
      </c>
      <c r="O82">
        <v>1</v>
      </c>
      <c r="P82">
        <v>928</v>
      </c>
      <c r="Q82">
        <v>832</v>
      </c>
    </row>
    <row r="83" spans="1:17">
      <c r="A83" s="21" t="s">
        <v>106</v>
      </c>
      <c r="B83" s="21" t="s">
        <v>173</v>
      </c>
      <c r="C83" s="21" t="s">
        <v>212</v>
      </c>
      <c r="D83" s="21" t="s">
        <v>213</v>
      </c>
      <c r="E83" s="21" t="s">
        <v>516</v>
      </c>
      <c r="F83" s="21" t="s">
        <v>527</v>
      </c>
      <c r="G83" s="21" t="s">
        <v>70</v>
      </c>
      <c r="H83">
        <v>1</v>
      </c>
      <c r="I83">
        <v>491</v>
      </c>
      <c r="J83" s="30">
        <v>45669</v>
      </c>
      <c r="K83" s="21" t="s">
        <v>49</v>
      </c>
      <c r="L83">
        <v>10</v>
      </c>
      <c r="M83">
        <v>491</v>
      </c>
      <c r="N83">
        <v>481</v>
      </c>
      <c r="O83">
        <v>1</v>
      </c>
      <c r="P83">
        <v>491</v>
      </c>
      <c r="Q83">
        <v>481</v>
      </c>
    </row>
    <row r="84" spans="1:17">
      <c r="A84" s="21" t="s">
        <v>209</v>
      </c>
      <c r="B84" s="21" t="s">
        <v>123</v>
      </c>
      <c r="C84" s="21" t="s">
        <v>214</v>
      </c>
      <c r="D84" s="21" t="s">
        <v>215</v>
      </c>
      <c r="E84" s="21" t="s">
        <v>455</v>
      </c>
      <c r="F84" s="21" t="s">
        <v>527</v>
      </c>
      <c r="G84" s="21" t="s">
        <v>77</v>
      </c>
      <c r="H84">
        <v>10</v>
      </c>
      <c r="I84">
        <v>382</v>
      </c>
      <c r="J84" s="30">
        <v>45992</v>
      </c>
      <c r="K84" s="21" t="s">
        <v>30</v>
      </c>
      <c r="L84">
        <v>97</v>
      </c>
      <c r="M84">
        <v>3820</v>
      </c>
      <c r="N84">
        <v>3723</v>
      </c>
      <c r="O84">
        <v>10</v>
      </c>
      <c r="P84">
        <v>3820</v>
      </c>
      <c r="Q84">
        <v>3723</v>
      </c>
    </row>
    <row r="85" spans="1:17">
      <c r="A85" s="21" t="s">
        <v>50</v>
      </c>
      <c r="B85" s="21" t="s">
        <v>216</v>
      </c>
      <c r="C85" s="21" t="s">
        <v>217</v>
      </c>
      <c r="D85" s="21" t="s">
        <v>350</v>
      </c>
      <c r="E85" s="21" t="s">
        <v>517</v>
      </c>
      <c r="F85" s="21" t="s">
        <v>526</v>
      </c>
      <c r="G85" s="21" t="s">
        <v>36</v>
      </c>
      <c r="H85">
        <v>1</v>
      </c>
      <c r="I85">
        <v>691</v>
      </c>
      <c r="J85" s="30">
        <v>45669</v>
      </c>
      <c r="K85" s="21" t="s">
        <v>55</v>
      </c>
      <c r="L85">
        <v>26</v>
      </c>
      <c r="M85">
        <v>691</v>
      </c>
      <c r="N85">
        <v>665</v>
      </c>
      <c r="O85">
        <v>1</v>
      </c>
      <c r="P85">
        <v>691</v>
      </c>
      <c r="Q85">
        <v>665</v>
      </c>
    </row>
    <row r="86" spans="1:17">
      <c r="A86" s="21" t="s">
        <v>112</v>
      </c>
      <c r="B86" s="21" t="s">
        <v>173</v>
      </c>
      <c r="C86" s="21" t="s">
        <v>218</v>
      </c>
      <c r="D86" s="21" t="s">
        <v>351</v>
      </c>
      <c r="E86" s="21" t="s">
        <v>518</v>
      </c>
      <c r="F86" s="21" t="s">
        <v>527</v>
      </c>
      <c r="G86" s="21" t="s">
        <v>70</v>
      </c>
      <c r="H86">
        <v>1</v>
      </c>
      <c r="I86">
        <v>969</v>
      </c>
      <c r="J86" s="30">
        <v>45992</v>
      </c>
      <c r="K86" s="21" t="s">
        <v>30</v>
      </c>
      <c r="L86">
        <v>25</v>
      </c>
      <c r="M86">
        <v>969</v>
      </c>
      <c r="N86">
        <v>944</v>
      </c>
      <c r="O86">
        <v>1</v>
      </c>
      <c r="P86">
        <v>969</v>
      </c>
      <c r="Q86">
        <v>944</v>
      </c>
    </row>
    <row r="87" spans="1:17">
      <c r="A87" s="21" t="s">
        <v>56</v>
      </c>
      <c r="B87" s="21" t="s">
        <v>219</v>
      </c>
      <c r="C87" s="21" t="s">
        <v>220</v>
      </c>
      <c r="D87" s="21" t="s">
        <v>221</v>
      </c>
      <c r="E87" s="21" t="s">
        <v>388</v>
      </c>
      <c r="F87" s="21" t="s">
        <v>525</v>
      </c>
      <c r="G87" s="21" t="s">
        <v>41</v>
      </c>
      <c r="H87">
        <v>10</v>
      </c>
      <c r="I87">
        <v>47</v>
      </c>
      <c r="J87" s="30">
        <v>45669</v>
      </c>
      <c r="K87" s="21" t="s">
        <v>37</v>
      </c>
      <c r="L87">
        <v>45</v>
      </c>
      <c r="M87">
        <v>470</v>
      </c>
      <c r="N87">
        <v>425</v>
      </c>
      <c r="O87">
        <v>10</v>
      </c>
      <c r="P87">
        <v>470</v>
      </c>
      <c r="Q87">
        <v>425</v>
      </c>
    </row>
    <row r="88" spans="1:17">
      <c r="A88" s="21" t="s">
        <v>112</v>
      </c>
      <c r="B88" s="21" t="s">
        <v>25</v>
      </c>
      <c r="C88" s="21" t="s">
        <v>222</v>
      </c>
      <c r="D88" s="21" t="s">
        <v>352</v>
      </c>
      <c r="E88" s="21" t="s">
        <v>457</v>
      </c>
      <c r="F88" s="21" t="s">
        <v>522</v>
      </c>
      <c r="G88" s="21" t="s">
        <v>36</v>
      </c>
      <c r="H88">
        <v>1</v>
      </c>
      <c r="I88">
        <v>200</v>
      </c>
      <c r="J88" s="30">
        <v>45992</v>
      </c>
      <c r="K88" s="21" t="s">
        <v>30</v>
      </c>
      <c r="L88">
        <v>10</v>
      </c>
      <c r="M88">
        <v>200</v>
      </c>
      <c r="N88">
        <v>190</v>
      </c>
      <c r="O88">
        <v>1</v>
      </c>
      <c r="P88">
        <v>200</v>
      </c>
      <c r="Q88">
        <v>190</v>
      </c>
    </row>
    <row r="89" spans="1:17">
      <c r="A89" s="21" t="s">
        <v>94</v>
      </c>
      <c r="B89" s="21" t="s">
        <v>223</v>
      </c>
      <c r="C89" s="21" t="s">
        <v>224</v>
      </c>
      <c r="D89" s="21" t="s">
        <v>353</v>
      </c>
      <c r="E89" s="21" t="s">
        <v>458</v>
      </c>
      <c r="F89" s="21" t="s">
        <v>527</v>
      </c>
      <c r="G89" s="21" t="s">
        <v>48</v>
      </c>
      <c r="H89">
        <v>1</v>
      </c>
      <c r="I89">
        <v>571</v>
      </c>
      <c r="J89" s="30">
        <v>45669</v>
      </c>
      <c r="K89" s="21" t="s">
        <v>30</v>
      </c>
      <c r="L89">
        <v>115</v>
      </c>
      <c r="M89">
        <v>571</v>
      </c>
      <c r="N89">
        <v>456</v>
      </c>
      <c r="O89">
        <v>1</v>
      </c>
      <c r="P89">
        <v>571</v>
      </c>
      <c r="Q89">
        <v>456</v>
      </c>
    </row>
    <row r="90" spans="1:17">
      <c r="A90" s="21" t="s">
        <v>64</v>
      </c>
      <c r="B90" s="21" t="s">
        <v>15</v>
      </c>
      <c r="C90" s="21" t="s">
        <v>225</v>
      </c>
      <c r="D90" s="21" t="s">
        <v>226</v>
      </c>
      <c r="E90" s="21" t="s">
        <v>459</v>
      </c>
      <c r="F90" s="21" t="s">
        <v>526</v>
      </c>
      <c r="G90" s="21" t="s">
        <v>41</v>
      </c>
      <c r="H90">
        <v>8</v>
      </c>
      <c r="I90">
        <v>644</v>
      </c>
      <c r="J90" s="30">
        <v>45669</v>
      </c>
      <c r="K90" s="21" t="s">
        <v>37</v>
      </c>
      <c r="L90">
        <v>16</v>
      </c>
      <c r="M90">
        <v>5152</v>
      </c>
      <c r="N90">
        <v>5136</v>
      </c>
      <c r="O90">
        <v>8</v>
      </c>
      <c r="P90">
        <v>5152</v>
      </c>
      <c r="Q90">
        <v>5136</v>
      </c>
    </row>
    <row r="91" spans="1:17">
      <c r="A91" s="21" t="s">
        <v>112</v>
      </c>
      <c r="B91" s="21" t="s">
        <v>110</v>
      </c>
      <c r="C91" s="21" t="s">
        <v>227</v>
      </c>
      <c r="D91" s="21" t="s">
        <v>228</v>
      </c>
      <c r="E91" s="21" t="s">
        <v>460</v>
      </c>
      <c r="F91" s="21" t="s">
        <v>525</v>
      </c>
      <c r="G91" s="21" t="s">
        <v>70</v>
      </c>
      <c r="H91">
        <v>1</v>
      </c>
      <c r="I91">
        <v>349</v>
      </c>
      <c r="J91" s="30">
        <v>45992</v>
      </c>
      <c r="K91" s="21" t="s">
        <v>37</v>
      </c>
      <c r="L91">
        <v>10</v>
      </c>
      <c r="M91">
        <v>349</v>
      </c>
      <c r="N91">
        <v>339</v>
      </c>
      <c r="O91">
        <v>1</v>
      </c>
      <c r="P91">
        <v>349</v>
      </c>
      <c r="Q91">
        <v>339</v>
      </c>
    </row>
    <row r="92" spans="1:17">
      <c r="A92" s="21" t="s">
        <v>78</v>
      </c>
      <c r="B92" s="21" t="s">
        <v>219</v>
      </c>
      <c r="C92" s="21" t="s">
        <v>496</v>
      </c>
      <c r="D92" s="21" t="s">
        <v>229</v>
      </c>
      <c r="E92" s="21" t="s">
        <v>461</v>
      </c>
      <c r="F92" s="21" t="s">
        <v>526</v>
      </c>
      <c r="G92" s="21" t="s">
        <v>41</v>
      </c>
      <c r="H92">
        <v>1</v>
      </c>
      <c r="I92">
        <v>44</v>
      </c>
      <c r="J92" s="30">
        <v>45992</v>
      </c>
      <c r="K92" s="21" t="s">
        <v>37</v>
      </c>
      <c r="L92">
        <v>5</v>
      </c>
      <c r="M92">
        <v>44</v>
      </c>
      <c r="N92">
        <v>39</v>
      </c>
      <c r="O92">
        <v>1</v>
      </c>
      <c r="P92">
        <v>44</v>
      </c>
      <c r="Q92">
        <v>39</v>
      </c>
    </row>
    <row r="93" spans="1:17">
      <c r="A93" s="21" t="s">
        <v>50</v>
      </c>
      <c r="B93" s="21" t="s">
        <v>230</v>
      </c>
      <c r="C93" s="21" t="s">
        <v>231</v>
      </c>
      <c r="D93" s="21" t="s">
        <v>354</v>
      </c>
      <c r="E93" s="21" t="s">
        <v>401</v>
      </c>
      <c r="F93" s="21" t="s">
        <v>524</v>
      </c>
      <c r="G93" s="21" t="s">
        <v>23</v>
      </c>
      <c r="H93">
        <v>6</v>
      </c>
      <c r="I93">
        <v>200</v>
      </c>
      <c r="J93" s="30">
        <v>45992</v>
      </c>
      <c r="K93" s="21" t="s">
        <v>55</v>
      </c>
      <c r="L93">
        <v>24</v>
      </c>
      <c r="M93">
        <v>1200</v>
      </c>
      <c r="N93">
        <v>1176</v>
      </c>
      <c r="O93">
        <v>6</v>
      </c>
      <c r="P93">
        <v>1200</v>
      </c>
      <c r="Q93">
        <v>1176</v>
      </c>
    </row>
    <row r="94" spans="1:17">
      <c r="A94" s="21" t="s">
        <v>14</v>
      </c>
      <c r="B94" s="21" t="s">
        <v>131</v>
      </c>
      <c r="C94" s="21" t="s">
        <v>232</v>
      </c>
      <c r="D94" s="21" t="s">
        <v>355</v>
      </c>
      <c r="E94" s="21" t="s">
        <v>519</v>
      </c>
      <c r="F94" s="21" t="s">
        <v>526</v>
      </c>
      <c r="G94" s="21" t="s">
        <v>500</v>
      </c>
      <c r="H94">
        <v>1</v>
      </c>
      <c r="I94">
        <v>424</v>
      </c>
      <c r="J94" s="30">
        <v>45669</v>
      </c>
      <c r="K94" s="21" t="s">
        <v>37</v>
      </c>
      <c r="L94">
        <v>14</v>
      </c>
      <c r="M94">
        <v>424</v>
      </c>
      <c r="N94">
        <v>410</v>
      </c>
      <c r="O94">
        <v>1</v>
      </c>
      <c r="P94">
        <v>424</v>
      </c>
      <c r="Q94">
        <v>410</v>
      </c>
    </row>
    <row r="95" spans="1:17">
      <c r="A95" s="21" t="s">
        <v>31</v>
      </c>
      <c r="B95" s="21" t="s">
        <v>233</v>
      </c>
      <c r="C95" s="21" t="s">
        <v>234</v>
      </c>
      <c r="D95" s="21" t="s">
        <v>356</v>
      </c>
      <c r="E95" s="21" t="s">
        <v>462</v>
      </c>
      <c r="F95" s="21" t="s">
        <v>525</v>
      </c>
      <c r="G95" s="21" t="s">
        <v>92</v>
      </c>
      <c r="H95">
        <v>7</v>
      </c>
      <c r="I95">
        <v>25</v>
      </c>
      <c r="J95" s="30">
        <v>45992</v>
      </c>
      <c r="K95" s="21" t="s">
        <v>93</v>
      </c>
      <c r="L95">
        <v>21</v>
      </c>
      <c r="M95">
        <v>175</v>
      </c>
      <c r="N95">
        <v>154</v>
      </c>
      <c r="O95">
        <v>7</v>
      </c>
      <c r="P95">
        <v>175</v>
      </c>
      <c r="Q95">
        <v>154</v>
      </c>
    </row>
    <row r="96" spans="1:17">
      <c r="A96" s="21" t="s">
        <v>137</v>
      </c>
      <c r="B96" s="21" t="s">
        <v>107</v>
      </c>
      <c r="C96" s="21" t="s">
        <v>235</v>
      </c>
      <c r="D96" s="21" t="s">
        <v>357</v>
      </c>
      <c r="E96" s="21" t="s">
        <v>463</v>
      </c>
      <c r="F96" s="21" t="s">
        <v>523</v>
      </c>
      <c r="G96" s="21" t="s">
        <v>41</v>
      </c>
      <c r="H96">
        <v>8</v>
      </c>
      <c r="I96">
        <v>411</v>
      </c>
      <c r="J96" s="30">
        <v>45669</v>
      </c>
      <c r="K96" s="21" t="s">
        <v>55</v>
      </c>
      <c r="L96">
        <v>25</v>
      </c>
      <c r="M96">
        <v>3288</v>
      </c>
      <c r="N96">
        <v>3263</v>
      </c>
      <c r="O96">
        <v>8</v>
      </c>
      <c r="P96">
        <v>3288</v>
      </c>
      <c r="Q96">
        <v>3263</v>
      </c>
    </row>
    <row r="97" spans="1:17">
      <c r="A97" s="21" t="s">
        <v>73</v>
      </c>
      <c r="B97" s="21" t="s">
        <v>59</v>
      </c>
      <c r="C97" s="21" t="s">
        <v>236</v>
      </c>
      <c r="D97" s="21" t="s">
        <v>358</v>
      </c>
      <c r="E97" s="21" t="s">
        <v>464</v>
      </c>
      <c r="F97" s="21" t="s">
        <v>523</v>
      </c>
      <c r="G97" s="21" t="s">
        <v>41</v>
      </c>
      <c r="H97">
        <v>1</v>
      </c>
      <c r="I97">
        <v>936</v>
      </c>
      <c r="J97" s="30">
        <v>45669</v>
      </c>
      <c r="K97" s="21" t="s">
        <v>37</v>
      </c>
      <c r="L97">
        <v>41</v>
      </c>
      <c r="M97">
        <v>936</v>
      </c>
      <c r="N97">
        <v>895</v>
      </c>
      <c r="O97">
        <v>1</v>
      </c>
      <c r="P97">
        <v>936</v>
      </c>
      <c r="Q97">
        <v>895</v>
      </c>
    </row>
    <row r="98" spans="1:17">
      <c r="A98" s="21" t="s">
        <v>56</v>
      </c>
      <c r="B98" s="21" t="s">
        <v>237</v>
      </c>
      <c r="C98" s="21" t="s">
        <v>238</v>
      </c>
      <c r="D98" s="21" t="s">
        <v>359</v>
      </c>
      <c r="E98" s="21" t="s">
        <v>465</v>
      </c>
      <c r="F98" s="21" t="s">
        <v>524</v>
      </c>
      <c r="G98" s="21" t="s">
        <v>500</v>
      </c>
      <c r="H98">
        <v>7</v>
      </c>
      <c r="I98">
        <v>40</v>
      </c>
      <c r="J98" s="30">
        <v>45669</v>
      </c>
      <c r="K98" s="21" t="s">
        <v>49</v>
      </c>
      <c r="L98">
        <v>29</v>
      </c>
      <c r="M98">
        <v>280</v>
      </c>
      <c r="N98">
        <v>251</v>
      </c>
      <c r="O98">
        <v>7</v>
      </c>
      <c r="P98">
        <v>280</v>
      </c>
      <c r="Q98">
        <v>251</v>
      </c>
    </row>
    <row r="99" spans="1:17">
      <c r="A99" s="21" t="s">
        <v>64</v>
      </c>
      <c r="B99" s="21" t="s">
        <v>147</v>
      </c>
      <c r="C99" s="21" t="s">
        <v>239</v>
      </c>
      <c r="D99" s="21" t="s">
        <v>240</v>
      </c>
      <c r="E99" s="21" t="s">
        <v>466</v>
      </c>
      <c r="F99" s="21" t="s">
        <v>525</v>
      </c>
      <c r="G99" s="21" t="s">
        <v>70</v>
      </c>
      <c r="H99">
        <v>1</v>
      </c>
      <c r="I99">
        <v>43</v>
      </c>
      <c r="J99" s="30">
        <v>45669</v>
      </c>
      <c r="K99" s="21" t="s">
        <v>93</v>
      </c>
      <c r="L99">
        <v>14</v>
      </c>
      <c r="M99">
        <v>43</v>
      </c>
      <c r="N99">
        <v>29</v>
      </c>
      <c r="O99">
        <v>1</v>
      </c>
      <c r="P99">
        <v>43</v>
      </c>
      <c r="Q99">
        <v>29</v>
      </c>
    </row>
    <row r="100" spans="1:17">
      <c r="A100" s="21" t="s">
        <v>106</v>
      </c>
      <c r="B100" s="21" t="s">
        <v>150</v>
      </c>
      <c r="C100" s="21" t="s">
        <v>241</v>
      </c>
      <c r="D100" s="21" t="s">
        <v>360</v>
      </c>
      <c r="E100" s="21" t="s">
        <v>467</v>
      </c>
      <c r="F100" s="21" t="s">
        <v>527</v>
      </c>
      <c r="G100" s="21" t="s">
        <v>29</v>
      </c>
      <c r="H100">
        <v>8</v>
      </c>
      <c r="I100">
        <v>839</v>
      </c>
      <c r="J100" s="30">
        <v>45992</v>
      </c>
      <c r="K100" s="21" t="s">
        <v>37</v>
      </c>
      <c r="L100">
        <v>66</v>
      </c>
      <c r="M100">
        <v>6712</v>
      </c>
      <c r="N100">
        <v>6646</v>
      </c>
      <c r="O100">
        <v>8</v>
      </c>
      <c r="P100">
        <v>6712</v>
      </c>
      <c r="Q100">
        <v>6646</v>
      </c>
    </row>
    <row r="101" spans="1:17">
      <c r="A101" s="21" t="s">
        <v>73</v>
      </c>
      <c r="B101" s="21" t="s">
        <v>123</v>
      </c>
      <c r="C101" s="21" t="s">
        <v>242</v>
      </c>
      <c r="D101" s="21" t="s">
        <v>243</v>
      </c>
      <c r="E101" s="21" t="s">
        <v>468</v>
      </c>
      <c r="F101" s="21" t="s">
        <v>523</v>
      </c>
      <c r="G101" s="21" t="s">
        <v>70</v>
      </c>
      <c r="H101">
        <v>10</v>
      </c>
      <c r="I101">
        <v>706</v>
      </c>
      <c r="J101" s="30">
        <v>45669</v>
      </c>
      <c r="K101" s="21" t="s">
        <v>37</v>
      </c>
      <c r="L101">
        <v>6</v>
      </c>
      <c r="M101">
        <v>7060</v>
      </c>
      <c r="N101">
        <v>7054</v>
      </c>
      <c r="O101">
        <v>10</v>
      </c>
      <c r="P101">
        <v>7060</v>
      </c>
      <c r="Q101">
        <v>7054</v>
      </c>
    </row>
    <row r="102" spans="1:17">
      <c r="A102" s="21" t="s">
        <v>24</v>
      </c>
      <c r="B102" s="21" t="s">
        <v>244</v>
      </c>
      <c r="C102" s="21" t="s">
        <v>245</v>
      </c>
      <c r="D102" s="21" t="s">
        <v>361</v>
      </c>
      <c r="E102" s="21" t="s">
        <v>469</v>
      </c>
      <c r="F102" s="21" t="s">
        <v>522</v>
      </c>
      <c r="G102" s="21" t="s">
        <v>23</v>
      </c>
      <c r="H102">
        <v>10</v>
      </c>
      <c r="I102">
        <v>29</v>
      </c>
      <c r="J102" s="30">
        <v>45669</v>
      </c>
      <c r="K102" s="21" t="s">
        <v>93</v>
      </c>
      <c r="L102">
        <v>11</v>
      </c>
      <c r="M102">
        <v>290</v>
      </c>
      <c r="N102">
        <v>279</v>
      </c>
      <c r="O102">
        <v>10</v>
      </c>
      <c r="P102">
        <v>290</v>
      </c>
      <c r="Q102">
        <v>279</v>
      </c>
    </row>
    <row r="103" spans="1:17">
      <c r="A103" s="21" t="s">
        <v>31</v>
      </c>
      <c r="B103" s="21" t="s">
        <v>87</v>
      </c>
      <c r="C103" s="21" t="s">
        <v>246</v>
      </c>
      <c r="D103" s="21" t="s">
        <v>362</v>
      </c>
      <c r="E103" s="21" t="s">
        <v>470</v>
      </c>
      <c r="F103" s="21" t="s">
        <v>523</v>
      </c>
      <c r="G103" s="21" t="s">
        <v>500</v>
      </c>
      <c r="H103">
        <v>1</v>
      </c>
      <c r="I103">
        <v>291</v>
      </c>
      <c r="J103" s="30">
        <v>45992</v>
      </c>
      <c r="K103" s="21" t="s">
        <v>93</v>
      </c>
      <c r="L103">
        <v>27</v>
      </c>
      <c r="M103">
        <v>291</v>
      </c>
      <c r="N103">
        <v>264</v>
      </c>
      <c r="O103">
        <v>1</v>
      </c>
      <c r="P103">
        <v>291</v>
      </c>
      <c r="Q103">
        <v>264</v>
      </c>
    </row>
    <row r="104" spans="1:17">
      <c r="A104" s="21" t="s">
        <v>86</v>
      </c>
      <c r="B104" s="21" t="s">
        <v>247</v>
      </c>
      <c r="C104" s="21" t="s">
        <v>248</v>
      </c>
      <c r="D104" s="21" t="s">
        <v>363</v>
      </c>
      <c r="E104" s="21" t="s">
        <v>471</v>
      </c>
      <c r="F104" s="21" t="s">
        <v>525</v>
      </c>
      <c r="G104" s="21" t="s">
        <v>36</v>
      </c>
      <c r="H104">
        <v>1</v>
      </c>
      <c r="I104">
        <v>17</v>
      </c>
      <c r="J104" s="30">
        <v>45669</v>
      </c>
      <c r="K104" s="21" t="s">
        <v>37</v>
      </c>
      <c r="L104">
        <v>24</v>
      </c>
      <c r="M104">
        <v>17</v>
      </c>
      <c r="N104">
        <v>-7</v>
      </c>
      <c r="O104">
        <v>1</v>
      </c>
      <c r="P104">
        <v>17</v>
      </c>
      <c r="Q104">
        <v>-7</v>
      </c>
    </row>
    <row r="105" spans="1:17">
      <c r="A105" s="21" t="s">
        <v>64</v>
      </c>
      <c r="B105" s="21" t="s">
        <v>249</v>
      </c>
      <c r="C105" s="21" t="s">
        <v>250</v>
      </c>
      <c r="D105" s="21" t="s">
        <v>364</v>
      </c>
      <c r="E105" s="21" t="s">
        <v>472</v>
      </c>
      <c r="F105" s="21" t="s">
        <v>526</v>
      </c>
      <c r="G105" s="21" t="s">
        <v>77</v>
      </c>
      <c r="H105">
        <v>1</v>
      </c>
      <c r="I105">
        <v>49</v>
      </c>
      <c r="J105" s="30">
        <v>45992</v>
      </c>
      <c r="K105" s="21" t="s">
        <v>49</v>
      </c>
      <c r="L105">
        <v>32</v>
      </c>
      <c r="M105">
        <v>49</v>
      </c>
      <c r="N105">
        <v>17</v>
      </c>
      <c r="O105">
        <v>1</v>
      </c>
      <c r="P105">
        <v>49</v>
      </c>
      <c r="Q105">
        <v>17</v>
      </c>
    </row>
    <row r="106" spans="1:17">
      <c r="A106" s="21" t="s">
        <v>50</v>
      </c>
      <c r="B106" s="21" t="s">
        <v>251</v>
      </c>
      <c r="C106" s="21" t="s">
        <v>252</v>
      </c>
      <c r="D106" s="21" t="s">
        <v>253</v>
      </c>
      <c r="E106" s="21" t="s">
        <v>452</v>
      </c>
      <c r="F106" s="21" t="s">
        <v>527</v>
      </c>
      <c r="G106" s="21" t="s">
        <v>36</v>
      </c>
      <c r="H106">
        <v>10</v>
      </c>
      <c r="I106">
        <v>355</v>
      </c>
      <c r="J106" s="30">
        <v>45669</v>
      </c>
      <c r="K106" s="21" t="s">
        <v>30</v>
      </c>
      <c r="L106">
        <v>90</v>
      </c>
      <c r="M106">
        <v>3550</v>
      </c>
      <c r="N106">
        <v>3460</v>
      </c>
      <c r="O106">
        <v>10</v>
      </c>
      <c r="P106">
        <v>3550</v>
      </c>
      <c r="Q106">
        <v>3460</v>
      </c>
    </row>
    <row r="107" spans="1:17">
      <c r="A107" s="21" t="s">
        <v>14</v>
      </c>
      <c r="B107" s="21" t="s">
        <v>254</v>
      </c>
      <c r="C107" s="21" t="s">
        <v>497</v>
      </c>
      <c r="D107" s="21" t="s">
        <v>365</v>
      </c>
      <c r="E107" s="21" t="s">
        <v>520</v>
      </c>
      <c r="F107" s="21" t="s">
        <v>522</v>
      </c>
      <c r="G107" s="21" t="s">
        <v>23</v>
      </c>
      <c r="H107">
        <v>1</v>
      </c>
      <c r="I107">
        <v>164</v>
      </c>
      <c r="J107" s="30">
        <v>45669</v>
      </c>
      <c r="K107" s="21" t="s">
        <v>30</v>
      </c>
      <c r="L107">
        <v>99</v>
      </c>
      <c r="M107">
        <v>164</v>
      </c>
      <c r="N107">
        <v>65</v>
      </c>
      <c r="O107">
        <v>1</v>
      </c>
      <c r="P107">
        <v>164</v>
      </c>
      <c r="Q107">
        <v>65</v>
      </c>
    </row>
    <row r="108" spans="1:17">
      <c r="A108" s="21" t="s">
        <v>103</v>
      </c>
      <c r="B108" s="21" t="s">
        <v>19</v>
      </c>
      <c r="C108" s="21" t="s">
        <v>255</v>
      </c>
      <c r="D108" s="21" t="s">
        <v>366</v>
      </c>
      <c r="E108" s="21" t="s">
        <v>473</v>
      </c>
      <c r="F108" s="21" t="s">
        <v>527</v>
      </c>
      <c r="G108" s="21" t="s">
        <v>70</v>
      </c>
      <c r="H108">
        <v>1</v>
      </c>
      <c r="I108">
        <v>262</v>
      </c>
      <c r="J108" s="30">
        <v>45669</v>
      </c>
      <c r="K108" s="21" t="s">
        <v>37</v>
      </c>
      <c r="L108">
        <v>82</v>
      </c>
      <c r="M108">
        <v>262</v>
      </c>
      <c r="N108">
        <v>180</v>
      </c>
      <c r="O108">
        <v>1</v>
      </c>
      <c r="P108">
        <v>262</v>
      </c>
      <c r="Q108">
        <v>180</v>
      </c>
    </row>
    <row r="109" spans="1:17">
      <c r="A109" s="21" t="s">
        <v>14</v>
      </c>
      <c r="B109" s="21" t="s">
        <v>115</v>
      </c>
      <c r="C109" s="21" t="s">
        <v>256</v>
      </c>
      <c r="D109" s="21" t="s">
        <v>367</v>
      </c>
      <c r="E109" s="21" t="s">
        <v>474</v>
      </c>
      <c r="F109" s="21" t="s">
        <v>522</v>
      </c>
      <c r="G109" s="21" t="s">
        <v>499</v>
      </c>
      <c r="H109">
        <v>6</v>
      </c>
      <c r="I109">
        <v>532</v>
      </c>
      <c r="J109" s="30">
        <v>45669</v>
      </c>
      <c r="K109" s="21" t="s">
        <v>37</v>
      </c>
      <c r="L109">
        <v>48</v>
      </c>
      <c r="M109">
        <v>3192</v>
      </c>
      <c r="N109">
        <v>3144</v>
      </c>
      <c r="O109">
        <v>6</v>
      </c>
      <c r="P109">
        <v>3192</v>
      </c>
      <c r="Q109">
        <v>3144</v>
      </c>
    </row>
    <row r="110" spans="1:17">
      <c r="A110" s="21" t="s">
        <v>31</v>
      </c>
      <c r="B110" s="21" t="s">
        <v>67</v>
      </c>
      <c r="C110" s="21" t="s">
        <v>257</v>
      </c>
      <c r="D110" s="21" t="s">
        <v>258</v>
      </c>
      <c r="E110" s="21" t="s">
        <v>475</v>
      </c>
      <c r="F110" s="21" t="s">
        <v>527</v>
      </c>
      <c r="G110" s="21" t="s">
        <v>77</v>
      </c>
      <c r="H110">
        <v>1</v>
      </c>
      <c r="I110">
        <v>730</v>
      </c>
      <c r="J110" s="30">
        <v>45669</v>
      </c>
      <c r="K110" s="21" t="s">
        <v>37</v>
      </c>
      <c r="L110">
        <v>15</v>
      </c>
      <c r="M110">
        <v>730</v>
      </c>
      <c r="N110">
        <v>715</v>
      </c>
      <c r="O110">
        <v>1</v>
      </c>
      <c r="P110">
        <v>730</v>
      </c>
      <c r="Q110">
        <v>715</v>
      </c>
    </row>
    <row r="111" spans="1:17">
      <c r="A111" s="21" t="s">
        <v>78</v>
      </c>
      <c r="B111" s="21" t="s">
        <v>193</v>
      </c>
      <c r="C111" s="21" t="s">
        <v>259</v>
      </c>
      <c r="D111" s="21" t="s">
        <v>260</v>
      </c>
      <c r="E111" s="21" t="s">
        <v>476</v>
      </c>
      <c r="F111" s="21" t="s">
        <v>522</v>
      </c>
      <c r="G111" s="21" t="s">
        <v>77</v>
      </c>
      <c r="H111">
        <v>5</v>
      </c>
      <c r="I111">
        <v>912</v>
      </c>
      <c r="J111" s="30">
        <v>45669</v>
      </c>
      <c r="K111" s="21" t="s">
        <v>49</v>
      </c>
      <c r="L111">
        <v>7</v>
      </c>
      <c r="M111">
        <v>4560</v>
      </c>
      <c r="N111">
        <v>4553</v>
      </c>
      <c r="O111">
        <v>5</v>
      </c>
      <c r="P111">
        <v>4560</v>
      </c>
      <c r="Q111">
        <v>4553</v>
      </c>
    </row>
    <row r="112" spans="1:17">
      <c r="A112" s="21" t="s">
        <v>170</v>
      </c>
      <c r="B112" s="21" t="s">
        <v>127</v>
      </c>
      <c r="C112" s="21" t="s">
        <v>261</v>
      </c>
      <c r="D112" s="21" t="s">
        <v>368</v>
      </c>
      <c r="E112" s="21" t="s">
        <v>477</v>
      </c>
      <c r="F112" s="21" t="s">
        <v>526</v>
      </c>
      <c r="G112" s="21" t="s">
        <v>92</v>
      </c>
      <c r="H112">
        <v>1</v>
      </c>
      <c r="I112">
        <v>507</v>
      </c>
      <c r="J112" s="30">
        <v>45669</v>
      </c>
      <c r="K112" s="21" t="s">
        <v>37</v>
      </c>
      <c r="L112">
        <v>24</v>
      </c>
      <c r="M112">
        <v>507</v>
      </c>
      <c r="N112">
        <v>483</v>
      </c>
      <c r="O112">
        <v>1</v>
      </c>
      <c r="P112">
        <v>507</v>
      </c>
      <c r="Q112">
        <v>483</v>
      </c>
    </row>
    <row r="113" spans="1:17">
      <c r="A113" s="21" t="s">
        <v>78</v>
      </c>
      <c r="B113" s="21" t="s">
        <v>127</v>
      </c>
      <c r="C113" s="21" t="s">
        <v>262</v>
      </c>
      <c r="D113" s="21" t="s">
        <v>369</v>
      </c>
      <c r="E113" s="21" t="s">
        <v>478</v>
      </c>
      <c r="F113" s="21" t="s">
        <v>523</v>
      </c>
      <c r="G113" s="21" t="s">
        <v>23</v>
      </c>
      <c r="H113">
        <v>10</v>
      </c>
      <c r="I113">
        <v>350</v>
      </c>
      <c r="J113" s="30">
        <v>45669</v>
      </c>
      <c r="K113" s="21" t="s">
        <v>37</v>
      </c>
      <c r="L113">
        <v>106</v>
      </c>
      <c r="M113">
        <v>3500</v>
      </c>
      <c r="N113">
        <v>3394</v>
      </c>
      <c r="O113">
        <v>10</v>
      </c>
      <c r="P113">
        <v>3500</v>
      </c>
      <c r="Q113">
        <v>3394</v>
      </c>
    </row>
    <row r="114" spans="1:17">
      <c r="A114" s="21" t="s">
        <v>100</v>
      </c>
      <c r="B114" s="21" t="s">
        <v>15</v>
      </c>
      <c r="C114" s="21" t="s">
        <v>263</v>
      </c>
      <c r="D114" s="21" t="s">
        <v>370</v>
      </c>
      <c r="E114" s="21" t="s">
        <v>479</v>
      </c>
      <c r="F114" s="21" t="s">
        <v>523</v>
      </c>
      <c r="G114" s="21" t="s">
        <v>92</v>
      </c>
      <c r="H114">
        <v>1</v>
      </c>
      <c r="I114">
        <v>26</v>
      </c>
      <c r="J114" s="30">
        <v>45669</v>
      </c>
      <c r="K114" s="21" t="s">
        <v>93</v>
      </c>
      <c r="L114">
        <v>15</v>
      </c>
      <c r="M114">
        <v>26</v>
      </c>
      <c r="N114">
        <v>11</v>
      </c>
      <c r="O114">
        <v>1</v>
      </c>
      <c r="P114">
        <v>26</v>
      </c>
      <c r="Q114">
        <v>11</v>
      </c>
    </row>
    <row r="115" spans="1:17">
      <c r="A115" s="21" t="s">
        <v>209</v>
      </c>
      <c r="B115" s="21" t="s">
        <v>237</v>
      </c>
      <c r="C115" s="21" t="s">
        <v>264</v>
      </c>
      <c r="D115" s="21" t="s">
        <v>371</v>
      </c>
      <c r="E115" s="21" t="s">
        <v>521</v>
      </c>
      <c r="F115" s="21" t="s">
        <v>524</v>
      </c>
      <c r="G115" s="21" t="s">
        <v>48</v>
      </c>
      <c r="H115">
        <v>10</v>
      </c>
      <c r="I115">
        <v>45</v>
      </c>
      <c r="J115" s="30">
        <v>45992</v>
      </c>
      <c r="K115" s="21" t="s">
        <v>37</v>
      </c>
      <c r="L115">
        <v>7</v>
      </c>
      <c r="M115">
        <v>450</v>
      </c>
      <c r="N115">
        <v>443</v>
      </c>
      <c r="O115">
        <v>10</v>
      </c>
      <c r="P115">
        <v>450</v>
      </c>
      <c r="Q115">
        <v>443</v>
      </c>
    </row>
    <row r="116" spans="1:17">
      <c r="A116" s="21" t="s">
        <v>18</v>
      </c>
      <c r="B116" s="21" t="s">
        <v>19</v>
      </c>
      <c r="C116" s="21" t="s">
        <v>265</v>
      </c>
      <c r="D116" s="21" t="s">
        <v>372</v>
      </c>
      <c r="E116" s="21" t="s">
        <v>480</v>
      </c>
      <c r="F116" s="21" t="s">
        <v>525</v>
      </c>
      <c r="G116" s="21" t="s">
        <v>29</v>
      </c>
      <c r="H116">
        <v>10</v>
      </c>
      <c r="I116">
        <v>29</v>
      </c>
      <c r="J116" s="30">
        <v>45669</v>
      </c>
      <c r="K116" s="21" t="s">
        <v>93</v>
      </c>
      <c r="L116">
        <v>14</v>
      </c>
      <c r="M116">
        <v>290</v>
      </c>
      <c r="N116">
        <v>276</v>
      </c>
      <c r="O116">
        <v>10</v>
      </c>
      <c r="P116">
        <v>290</v>
      </c>
      <c r="Q116">
        <v>276</v>
      </c>
    </row>
    <row r="117" spans="1:17">
      <c r="A117" s="21" t="s">
        <v>86</v>
      </c>
      <c r="B117" s="21" t="s">
        <v>51</v>
      </c>
      <c r="C117" s="21" t="s">
        <v>266</v>
      </c>
      <c r="D117" s="21" t="s">
        <v>373</v>
      </c>
      <c r="E117" s="21" t="s">
        <v>481</v>
      </c>
      <c r="F117" s="21" t="s">
        <v>527</v>
      </c>
      <c r="G117" s="21" t="s">
        <v>36</v>
      </c>
      <c r="H117">
        <v>10</v>
      </c>
      <c r="I117">
        <v>529</v>
      </c>
      <c r="J117" s="30">
        <v>45992</v>
      </c>
      <c r="K117" s="21" t="s">
        <v>37</v>
      </c>
      <c r="L117">
        <v>61</v>
      </c>
      <c r="M117">
        <v>5290</v>
      </c>
      <c r="N117">
        <v>5229</v>
      </c>
      <c r="O117">
        <v>10</v>
      </c>
      <c r="P117">
        <v>5290</v>
      </c>
      <c r="Q117">
        <v>5229</v>
      </c>
    </row>
    <row r="118" spans="1:17">
      <c r="A118" s="21" t="s">
        <v>42</v>
      </c>
      <c r="B118" s="21" t="s">
        <v>167</v>
      </c>
      <c r="C118" s="21" t="s">
        <v>267</v>
      </c>
      <c r="D118" s="21" t="s">
        <v>374</v>
      </c>
      <c r="E118" s="21" t="s">
        <v>482</v>
      </c>
      <c r="F118" s="21" t="s">
        <v>525</v>
      </c>
      <c r="G118" s="21" t="s">
        <v>70</v>
      </c>
      <c r="H118">
        <v>1</v>
      </c>
      <c r="I118">
        <v>563</v>
      </c>
      <c r="J118" s="30">
        <v>45992</v>
      </c>
      <c r="K118" s="21" t="s">
        <v>30</v>
      </c>
      <c r="L118">
        <v>24</v>
      </c>
      <c r="M118">
        <v>563</v>
      </c>
      <c r="N118">
        <v>539</v>
      </c>
      <c r="O118">
        <v>1</v>
      </c>
      <c r="P118">
        <v>563</v>
      </c>
      <c r="Q118">
        <v>539</v>
      </c>
    </row>
    <row r="119" spans="1:17">
      <c r="A119" s="21" t="s">
        <v>31</v>
      </c>
      <c r="B119" s="21" t="s">
        <v>171</v>
      </c>
      <c r="C119" s="21" t="s">
        <v>268</v>
      </c>
      <c r="D119" s="21" t="s">
        <v>375</v>
      </c>
      <c r="E119" s="21" t="s">
        <v>483</v>
      </c>
      <c r="F119" s="21" t="s">
        <v>525</v>
      </c>
      <c r="G119" s="21" t="s">
        <v>41</v>
      </c>
      <c r="H119">
        <v>10</v>
      </c>
      <c r="I119">
        <v>828</v>
      </c>
      <c r="J119" s="30">
        <v>45669</v>
      </c>
      <c r="K119" s="21" t="s">
        <v>49</v>
      </c>
      <c r="L119">
        <v>21</v>
      </c>
      <c r="M119">
        <v>8280</v>
      </c>
      <c r="N119">
        <v>8259</v>
      </c>
      <c r="O119">
        <v>10</v>
      </c>
      <c r="P119">
        <v>8280</v>
      </c>
      <c r="Q119">
        <v>8259</v>
      </c>
    </row>
    <row r="120" spans="1:17">
      <c r="A120" s="21" t="s">
        <v>100</v>
      </c>
      <c r="B120" s="21" t="s">
        <v>134</v>
      </c>
      <c r="C120" s="21" t="s">
        <v>498</v>
      </c>
      <c r="D120" s="21" t="s">
        <v>376</v>
      </c>
      <c r="E120" s="21" t="s">
        <v>484</v>
      </c>
      <c r="F120" s="21" t="s">
        <v>525</v>
      </c>
      <c r="G120" s="21" t="s">
        <v>23</v>
      </c>
      <c r="H120">
        <v>5</v>
      </c>
      <c r="I120">
        <v>22</v>
      </c>
      <c r="J120" s="30">
        <v>45992</v>
      </c>
      <c r="K120" s="21" t="s">
        <v>49</v>
      </c>
      <c r="L120">
        <v>2</v>
      </c>
      <c r="M120">
        <v>110</v>
      </c>
      <c r="N120">
        <v>108</v>
      </c>
      <c r="O120">
        <v>5</v>
      </c>
      <c r="P120">
        <v>110</v>
      </c>
      <c r="Q120">
        <v>108</v>
      </c>
    </row>
    <row r="121" spans="1:17">
      <c r="A121" s="21" t="s">
        <v>64</v>
      </c>
      <c r="B121" s="21" t="s">
        <v>195</v>
      </c>
      <c r="C121" s="21" t="s">
        <v>269</v>
      </c>
      <c r="D121" s="21" t="s">
        <v>377</v>
      </c>
      <c r="E121" s="21" t="s">
        <v>485</v>
      </c>
      <c r="F121" s="21" t="s">
        <v>525</v>
      </c>
      <c r="G121" s="21" t="s">
        <v>500</v>
      </c>
      <c r="H121">
        <v>10</v>
      </c>
      <c r="I121">
        <v>402</v>
      </c>
      <c r="J121" s="30">
        <v>45669</v>
      </c>
      <c r="K121" s="21" t="s">
        <v>93</v>
      </c>
      <c r="L121">
        <v>112</v>
      </c>
      <c r="M121">
        <v>4020</v>
      </c>
      <c r="N121">
        <v>3908</v>
      </c>
      <c r="O121">
        <v>10</v>
      </c>
      <c r="P121">
        <v>4020</v>
      </c>
      <c r="Q121">
        <v>3908</v>
      </c>
    </row>
  </sheetData>
  <conditionalFormatting sqref="O2:O121">
    <cfRule type="cellIs" dxfId="10" priority="6" operator="equal">
      <formula>1</formula>
    </cfRule>
  </conditionalFormatting>
  <conditionalFormatting sqref="P1:P1048576">
    <cfRule type="duplicateValues" dxfId="9" priority="5"/>
  </conditionalFormatting>
  <conditionalFormatting sqref="Q1:Q1048576">
    <cfRule type="top10" dxfId="0" priority="4" rank="10"/>
    <cfRule type="top10" dxfId="1" priority="3" rank="10"/>
    <cfRule type="top10" dxfId="2" priority="2" rank="10"/>
    <cfRule type="top10" dxfId="3" priority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C94" workbookViewId="0">
      <selection sqref="A1:N121"/>
    </sheetView>
  </sheetViews>
  <sheetFormatPr defaultColWidth="14.44140625" defaultRowHeight="15" customHeight="1"/>
  <cols>
    <col min="1" max="1" width="13.77734375" customWidth="1"/>
    <col min="2" max="2" width="17" customWidth="1"/>
    <col min="3" max="3" width="27.33203125" bestFit="1" customWidth="1"/>
    <col min="4" max="4" width="16.21875" customWidth="1"/>
    <col min="5" max="5" width="23.109375" bestFit="1" customWidth="1"/>
    <col min="6" max="6" width="10.44140625" bestFit="1" customWidth="1"/>
    <col min="7" max="7" width="15.5546875" customWidth="1"/>
    <col min="8" max="8" width="14.88671875" customWidth="1"/>
    <col min="9" max="9" width="11.5546875" style="23" customWidth="1"/>
    <col min="10" max="10" width="15.44140625" style="25" customWidth="1"/>
    <col min="11" max="11" width="18.21875" customWidth="1"/>
    <col min="12" max="12" width="11.6640625" customWidth="1"/>
    <col min="13" max="13" width="12.33203125" customWidth="1"/>
    <col min="14" max="14" width="17.21875" bestFit="1" customWidth="1"/>
    <col min="15" max="26" width="8.6640625" customWidth="1"/>
  </cols>
  <sheetData>
    <row r="1" spans="1:14" ht="14.2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501</v>
      </c>
      <c r="G1" s="26" t="s">
        <v>6</v>
      </c>
      <c r="H1" s="26" t="s">
        <v>7</v>
      </c>
      <c r="I1" s="28" t="s">
        <v>8</v>
      </c>
      <c r="J1" s="29" t="s">
        <v>9</v>
      </c>
      <c r="K1" s="26" t="s">
        <v>10</v>
      </c>
      <c r="L1" s="26" t="s">
        <v>11</v>
      </c>
      <c r="M1" s="26" t="s">
        <v>12</v>
      </c>
      <c r="N1" s="26" t="s">
        <v>13</v>
      </c>
    </row>
    <row r="2" spans="1:14" ht="14.25" customHeight="1">
      <c r="A2" s="2" t="s">
        <v>14</v>
      </c>
      <c r="B2" s="2" t="s">
        <v>15</v>
      </c>
      <c r="C2" s="2" t="s">
        <v>16</v>
      </c>
      <c r="D2" s="2" t="s">
        <v>298</v>
      </c>
      <c r="E2" s="2" t="s">
        <v>378</v>
      </c>
      <c r="F2" s="2" t="s">
        <v>379</v>
      </c>
      <c r="G2" s="2" t="s">
        <v>29</v>
      </c>
      <c r="H2">
        <v>1</v>
      </c>
      <c r="I2" s="22">
        <v>559</v>
      </c>
      <c r="J2" s="24">
        <v>45669</v>
      </c>
      <c r="K2" s="2" t="s">
        <v>30</v>
      </c>
      <c r="L2" s="2">
        <v>9</v>
      </c>
      <c r="M2" s="23">
        <f>H2*I2</f>
        <v>559</v>
      </c>
      <c r="N2" s="23">
        <f>M2-L2</f>
        <v>550</v>
      </c>
    </row>
    <row r="3" spans="1:14" ht="14.2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380</v>
      </c>
      <c r="F3" s="2" t="s">
        <v>381</v>
      </c>
      <c r="G3" s="2" t="s">
        <v>23</v>
      </c>
      <c r="H3" s="2">
        <v>7</v>
      </c>
      <c r="I3" s="22">
        <v>50</v>
      </c>
      <c r="J3" s="24">
        <v>45669</v>
      </c>
      <c r="K3" s="2" t="s">
        <v>30</v>
      </c>
      <c r="L3" s="2">
        <v>82</v>
      </c>
      <c r="M3" s="23">
        <f t="shared" ref="M3:M66" si="0">H3*I3</f>
        <v>350</v>
      </c>
      <c r="N3" s="23">
        <f t="shared" ref="N3:N66" si="1">M3-L3</f>
        <v>268</v>
      </c>
    </row>
    <row r="4" spans="1:14" ht="14.25" customHeight="1">
      <c r="A4" s="2" t="s">
        <v>24</v>
      </c>
      <c r="B4" s="2" t="s">
        <v>25</v>
      </c>
      <c r="C4" s="2" t="s">
        <v>26</v>
      </c>
      <c r="D4" s="2" t="s">
        <v>299</v>
      </c>
      <c r="E4" s="2" t="s">
        <v>382</v>
      </c>
      <c r="F4" s="2" t="s">
        <v>383</v>
      </c>
      <c r="G4" s="2" t="s">
        <v>23</v>
      </c>
      <c r="H4" s="2">
        <v>10</v>
      </c>
      <c r="I4" s="22">
        <v>573</v>
      </c>
      <c r="J4" s="24">
        <v>45992</v>
      </c>
      <c r="K4" s="2" t="s">
        <v>37</v>
      </c>
      <c r="L4" s="2">
        <v>21</v>
      </c>
      <c r="M4" s="23">
        <f t="shared" si="0"/>
        <v>5730</v>
      </c>
      <c r="N4" s="23">
        <f t="shared" si="1"/>
        <v>5709</v>
      </c>
    </row>
    <row r="5" spans="1:14" ht="14.25" customHeight="1">
      <c r="A5" s="2" t="s">
        <v>27</v>
      </c>
      <c r="B5" s="2" t="s">
        <v>28</v>
      </c>
      <c r="C5" s="2" t="s">
        <v>486</v>
      </c>
      <c r="D5" s="2" t="s">
        <v>300</v>
      </c>
      <c r="E5" s="2" t="s">
        <v>384</v>
      </c>
      <c r="F5" s="2" t="s">
        <v>383</v>
      </c>
      <c r="G5" s="2" t="s">
        <v>29</v>
      </c>
      <c r="H5" s="19">
        <v>1</v>
      </c>
      <c r="I5" s="22">
        <v>697</v>
      </c>
      <c r="J5" s="24">
        <v>45992</v>
      </c>
      <c r="K5" s="2" t="s">
        <v>30</v>
      </c>
      <c r="L5" s="2">
        <v>120</v>
      </c>
      <c r="M5" s="23">
        <f t="shared" si="0"/>
        <v>697</v>
      </c>
      <c r="N5" s="23">
        <f t="shared" si="1"/>
        <v>577</v>
      </c>
    </row>
    <row r="6" spans="1:14" ht="14.2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385</v>
      </c>
      <c r="F6" s="2" t="s">
        <v>381</v>
      </c>
      <c r="G6" s="2" t="s">
        <v>36</v>
      </c>
      <c r="H6" s="2">
        <v>6</v>
      </c>
      <c r="I6" s="22">
        <v>545</v>
      </c>
      <c r="J6" s="24">
        <v>45669</v>
      </c>
      <c r="K6" s="2" t="s">
        <v>37</v>
      </c>
      <c r="L6" s="2">
        <v>57</v>
      </c>
      <c r="M6" s="23">
        <f t="shared" si="0"/>
        <v>3270</v>
      </c>
      <c r="N6" s="23">
        <f t="shared" si="1"/>
        <v>3213</v>
      </c>
    </row>
    <row r="7" spans="1:14" ht="14.25" customHeight="1">
      <c r="A7" s="2" t="s">
        <v>31</v>
      </c>
      <c r="B7" s="2" t="s">
        <v>38</v>
      </c>
      <c r="C7" s="2" t="s">
        <v>39</v>
      </c>
      <c r="D7" s="2" t="s">
        <v>301</v>
      </c>
      <c r="E7" s="2" t="s">
        <v>502</v>
      </c>
      <c r="F7" s="2" t="s">
        <v>386</v>
      </c>
      <c r="G7" s="2" t="s">
        <v>41</v>
      </c>
      <c r="H7" s="20">
        <v>1</v>
      </c>
      <c r="I7" s="22">
        <v>935</v>
      </c>
      <c r="J7" s="24">
        <v>45669</v>
      </c>
      <c r="K7" s="2" t="s">
        <v>30</v>
      </c>
      <c r="L7" s="2">
        <v>111</v>
      </c>
      <c r="M7" s="23">
        <f t="shared" si="0"/>
        <v>935</v>
      </c>
      <c r="N7" s="23">
        <f t="shared" si="1"/>
        <v>824</v>
      </c>
    </row>
    <row r="8" spans="1:14" ht="14.25" customHeight="1">
      <c r="A8" s="2" t="s">
        <v>42</v>
      </c>
      <c r="B8" s="2" t="s">
        <v>43</v>
      </c>
      <c r="C8" s="2" t="s">
        <v>44</v>
      </c>
      <c r="D8" s="2" t="s">
        <v>302</v>
      </c>
      <c r="E8" s="2" t="s">
        <v>503</v>
      </c>
      <c r="F8" s="2" t="s">
        <v>387</v>
      </c>
      <c r="G8" s="2" t="s">
        <v>29</v>
      </c>
      <c r="H8" s="2">
        <v>4</v>
      </c>
      <c r="I8" s="22">
        <v>172</v>
      </c>
      <c r="J8" s="24">
        <v>45669</v>
      </c>
      <c r="K8" s="2" t="s">
        <v>30</v>
      </c>
      <c r="L8" s="2">
        <v>7</v>
      </c>
      <c r="M8" s="23">
        <f t="shared" si="0"/>
        <v>688</v>
      </c>
      <c r="N8" s="23">
        <f t="shared" si="1"/>
        <v>681</v>
      </c>
    </row>
    <row r="9" spans="1:14" ht="14.25" customHeight="1">
      <c r="A9" s="2" t="s">
        <v>24</v>
      </c>
      <c r="B9" s="2" t="s">
        <v>45</v>
      </c>
      <c r="C9" s="2" t="s">
        <v>46</v>
      </c>
      <c r="D9" s="2" t="s">
        <v>303</v>
      </c>
      <c r="E9" s="2" t="s">
        <v>388</v>
      </c>
      <c r="F9" s="2" t="s">
        <v>389</v>
      </c>
      <c r="G9" s="2" t="s">
        <v>48</v>
      </c>
      <c r="H9" s="2">
        <v>8</v>
      </c>
      <c r="I9" s="22">
        <v>789</v>
      </c>
      <c r="J9" s="24">
        <v>45992</v>
      </c>
      <c r="K9" s="2" t="s">
        <v>49</v>
      </c>
      <c r="L9" s="2">
        <v>76</v>
      </c>
      <c r="M9" s="23">
        <f t="shared" si="0"/>
        <v>6312</v>
      </c>
      <c r="N9" s="23">
        <f t="shared" si="1"/>
        <v>6236</v>
      </c>
    </row>
    <row r="10" spans="1:14" ht="14.25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504</v>
      </c>
      <c r="F10" s="2" t="s">
        <v>386</v>
      </c>
      <c r="G10" s="2" t="s">
        <v>499</v>
      </c>
      <c r="H10" s="2">
        <v>7</v>
      </c>
      <c r="I10" s="22">
        <v>488</v>
      </c>
      <c r="J10" s="24">
        <v>45669</v>
      </c>
      <c r="K10" s="2" t="s">
        <v>55</v>
      </c>
      <c r="L10" s="2">
        <v>9</v>
      </c>
      <c r="M10" s="23">
        <f t="shared" si="0"/>
        <v>3416</v>
      </c>
      <c r="N10" s="23">
        <f t="shared" si="1"/>
        <v>3407</v>
      </c>
    </row>
    <row r="11" spans="1:14" ht="14.25" customHeight="1">
      <c r="A11" s="2" t="s">
        <v>56</v>
      </c>
      <c r="B11" s="2" t="s">
        <v>57</v>
      </c>
      <c r="C11" s="2" t="s">
        <v>487</v>
      </c>
      <c r="D11" s="2" t="s">
        <v>58</v>
      </c>
      <c r="E11" s="2" t="s">
        <v>505</v>
      </c>
      <c r="F11" s="2" t="s">
        <v>390</v>
      </c>
      <c r="G11" s="2" t="s">
        <v>29</v>
      </c>
      <c r="H11" s="2">
        <v>3</v>
      </c>
      <c r="I11" s="22">
        <v>169</v>
      </c>
      <c r="J11" s="24">
        <v>45669</v>
      </c>
      <c r="K11" s="2" t="s">
        <v>37</v>
      </c>
      <c r="L11" s="2">
        <v>53</v>
      </c>
      <c r="M11" s="23">
        <f t="shared" si="0"/>
        <v>507</v>
      </c>
      <c r="N11" s="23">
        <f t="shared" si="1"/>
        <v>454</v>
      </c>
    </row>
    <row r="12" spans="1:14" ht="14.25" customHeight="1">
      <c r="A12" s="2" t="s">
        <v>24</v>
      </c>
      <c r="B12" s="2" t="s">
        <v>59</v>
      </c>
      <c r="C12" s="2" t="s">
        <v>60</v>
      </c>
      <c r="D12" s="2" t="s">
        <v>61</v>
      </c>
      <c r="E12" s="2" t="s">
        <v>391</v>
      </c>
      <c r="F12" s="2" t="s">
        <v>392</v>
      </c>
      <c r="G12" s="2" t="s">
        <v>23</v>
      </c>
      <c r="H12" s="2">
        <v>10</v>
      </c>
      <c r="I12" s="22">
        <v>23</v>
      </c>
      <c r="J12" s="24">
        <v>45992</v>
      </c>
      <c r="K12" s="2" t="s">
        <v>55</v>
      </c>
      <c r="L12" s="2">
        <v>29</v>
      </c>
      <c r="M12" s="23">
        <f t="shared" si="0"/>
        <v>230</v>
      </c>
      <c r="N12" s="23">
        <f t="shared" si="1"/>
        <v>201</v>
      </c>
    </row>
    <row r="13" spans="1:14" ht="14.25" customHeight="1">
      <c r="A13" s="2" t="s">
        <v>27</v>
      </c>
      <c r="B13" s="2" t="s">
        <v>19</v>
      </c>
      <c r="C13" s="2" t="s">
        <v>62</v>
      </c>
      <c r="D13" s="2" t="s">
        <v>304</v>
      </c>
      <c r="E13" s="2" t="s">
        <v>380</v>
      </c>
      <c r="F13" s="2" t="s">
        <v>389</v>
      </c>
      <c r="G13" s="2" t="s">
        <v>500</v>
      </c>
      <c r="H13" s="2">
        <v>10</v>
      </c>
      <c r="I13" s="22">
        <v>23</v>
      </c>
      <c r="J13" s="24">
        <v>45669</v>
      </c>
      <c r="K13" s="2" t="s">
        <v>37</v>
      </c>
      <c r="L13" s="2">
        <v>16</v>
      </c>
      <c r="M13" s="23">
        <f t="shared" si="0"/>
        <v>230</v>
      </c>
      <c r="N13" s="23">
        <f t="shared" si="1"/>
        <v>214</v>
      </c>
    </row>
    <row r="14" spans="1:14" ht="14.25" customHeight="1">
      <c r="A14" s="2" t="s">
        <v>64</v>
      </c>
      <c r="B14" s="2" t="s">
        <v>65</v>
      </c>
      <c r="C14" s="2" t="s">
        <v>488</v>
      </c>
      <c r="D14" s="2" t="s">
        <v>66</v>
      </c>
      <c r="E14" s="2" t="s">
        <v>393</v>
      </c>
      <c r="F14" s="2" t="s">
        <v>389</v>
      </c>
      <c r="G14" s="2" t="s">
        <v>500</v>
      </c>
      <c r="H14" s="2">
        <v>10</v>
      </c>
      <c r="I14" s="22">
        <v>230</v>
      </c>
      <c r="J14" s="24">
        <v>45992</v>
      </c>
      <c r="K14" s="2" t="s">
        <v>55</v>
      </c>
      <c r="L14" s="2">
        <v>28</v>
      </c>
      <c r="M14" s="23">
        <f t="shared" si="0"/>
        <v>2300</v>
      </c>
      <c r="N14" s="23">
        <f t="shared" si="1"/>
        <v>2272</v>
      </c>
    </row>
    <row r="15" spans="1:14" ht="14.25" customHeight="1">
      <c r="A15" s="2" t="s">
        <v>27</v>
      </c>
      <c r="B15" s="2" t="s">
        <v>67</v>
      </c>
      <c r="C15" s="2" t="s">
        <v>68</v>
      </c>
      <c r="D15" s="2" t="s">
        <v>305</v>
      </c>
      <c r="E15" s="2" t="s">
        <v>394</v>
      </c>
      <c r="F15" s="2" t="s">
        <v>392</v>
      </c>
      <c r="G15" s="2" t="s">
        <v>70</v>
      </c>
      <c r="H15" s="20">
        <v>1</v>
      </c>
      <c r="I15" s="22">
        <v>906</v>
      </c>
      <c r="J15" s="24">
        <v>45992</v>
      </c>
      <c r="K15" s="2" t="s">
        <v>30</v>
      </c>
      <c r="L15" s="2">
        <v>27</v>
      </c>
      <c r="M15" s="23">
        <f t="shared" si="0"/>
        <v>906</v>
      </c>
      <c r="N15" s="23">
        <f t="shared" si="1"/>
        <v>879</v>
      </c>
    </row>
    <row r="16" spans="1:14" ht="14.25" customHeight="1">
      <c r="A16" s="2" t="s">
        <v>50</v>
      </c>
      <c r="B16" s="2" t="s">
        <v>71</v>
      </c>
      <c r="C16" s="2" t="s">
        <v>72</v>
      </c>
      <c r="D16" s="2" t="s">
        <v>306</v>
      </c>
      <c r="E16" s="2" t="s">
        <v>395</v>
      </c>
      <c r="F16" s="2" t="s">
        <v>396</v>
      </c>
      <c r="G16" s="2" t="s">
        <v>29</v>
      </c>
      <c r="H16" s="2">
        <v>1</v>
      </c>
      <c r="I16" s="22">
        <v>21</v>
      </c>
      <c r="J16" s="24">
        <v>45669</v>
      </c>
      <c r="K16" s="2" t="s">
        <v>55</v>
      </c>
      <c r="L16" s="2">
        <v>3</v>
      </c>
      <c r="M16" s="23">
        <f t="shared" si="0"/>
        <v>21</v>
      </c>
      <c r="N16" s="23">
        <f t="shared" si="1"/>
        <v>18</v>
      </c>
    </row>
    <row r="17" spans="1:14" ht="14.25" customHeight="1">
      <c r="A17" s="2" t="s">
        <v>73</v>
      </c>
      <c r="B17" s="2" t="s">
        <v>59</v>
      </c>
      <c r="C17" s="2" t="s">
        <v>74</v>
      </c>
      <c r="D17" s="2" t="s">
        <v>75</v>
      </c>
      <c r="E17" s="2" t="s">
        <v>397</v>
      </c>
      <c r="F17" s="2" t="s">
        <v>381</v>
      </c>
      <c r="G17" s="2" t="s">
        <v>77</v>
      </c>
      <c r="H17" s="20">
        <v>1</v>
      </c>
      <c r="I17" s="22">
        <v>17</v>
      </c>
      <c r="J17" s="24">
        <v>45669</v>
      </c>
      <c r="K17" s="2" t="s">
        <v>55</v>
      </c>
      <c r="L17" s="2">
        <v>9</v>
      </c>
      <c r="M17" s="23">
        <f t="shared" si="0"/>
        <v>17</v>
      </c>
      <c r="N17" s="23">
        <f t="shared" si="1"/>
        <v>8</v>
      </c>
    </row>
    <row r="18" spans="1:14" ht="14.25" customHeight="1">
      <c r="A18" s="2" t="s">
        <v>78</v>
      </c>
      <c r="B18" s="2" t="s">
        <v>38</v>
      </c>
      <c r="C18" s="2" t="s">
        <v>79</v>
      </c>
      <c r="D18" s="2" t="s">
        <v>307</v>
      </c>
      <c r="E18" s="2" t="s">
        <v>398</v>
      </c>
      <c r="F18" s="2" t="s">
        <v>383</v>
      </c>
      <c r="G18" s="2" t="s">
        <v>41</v>
      </c>
      <c r="H18" s="20">
        <v>1</v>
      </c>
      <c r="I18" s="22">
        <v>23</v>
      </c>
      <c r="J18" s="24">
        <v>45669</v>
      </c>
      <c r="K18" s="2" t="s">
        <v>49</v>
      </c>
      <c r="L18" s="2">
        <v>33</v>
      </c>
      <c r="M18" s="23">
        <f t="shared" si="0"/>
        <v>23</v>
      </c>
      <c r="N18" s="23">
        <f t="shared" si="1"/>
        <v>-10</v>
      </c>
    </row>
    <row r="19" spans="1:14" ht="14.25" customHeight="1">
      <c r="A19" s="2" t="s">
        <v>42</v>
      </c>
      <c r="B19" s="2" t="s">
        <v>80</v>
      </c>
      <c r="C19" s="2" t="s">
        <v>81</v>
      </c>
      <c r="D19" s="2" t="s">
        <v>82</v>
      </c>
      <c r="E19" s="2" t="s">
        <v>399</v>
      </c>
      <c r="F19" s="2" t="s">
        <v>396</v>
      </c>
      <c r="G19" s="2" t="s">
        <v>41</v>
      </c>
      <c r="H19" s="20">
        <v>1</v>
      </c>
      <c r="I19" s="22">
        <v>19</v>
      </c>
      <c r="J19" s="24">
        <v>45669</v>
      </c>
      <c r="K19" s="2" t="s">
        <v>37</v>
      </c>
      <c r="L19" s="2">
        <v>9</v>
      </c>
      <c r="M19" s="23">
        <f t="shared" si="0"/>
        <v>19</v>
      </c>
      <c r="N19" s="23">
        <f t="shared" si="1"/>
        <v>10</v>
      </c>
    </row>
    <row r="20" spans="1:14" ht="14.25" customHeight="1">
      <c r="A20" s="2" t="s">
        <v>27</v>
      </c>
      <c r="B20" s="2" t="s">
        <v>83</v>
      </c>
      <c r="C20" s="2" t="s">
        <v>84</v>
      </c>
      <c r="D20" s="2" t="s">
        <v>85</v>
      </c>
      <c r="E20" s="2" t="s">
        <v>400</v>
      </c>
      <c r="F20" s="2" t="s">
        <v>396</v>
      </c>
      <c r="G20" s="2" t="s">
        <v>29</v>
      </c>
      <c r="H20" s="20">
        <v>1</v>
      </c>
      <c r="I20" s="22">
        <v>861</v>
      </c>
      <c r="J20" s="24">
        <v>45669</v>
      </c>
      <c r="K20" s="2" t="s">
        <v>55</v>
      </c>
      <c r="L20" s="2">
        <v>26</v>
      </c>
      <c r="M20" s="23">
        <f t="shared" si="0"/>
        <v>861</v>
      </c>
      <c r="N20" s="23">
        <f t="shared" si="1"/>
        <v>835</v>
      </c>
    </row>
    <row r="21" spans="1:14" ht="14.25" customHeight="1">
      <c r="A21" s="2" t="s">
        <v>86</v>
      </c>
      <c r="B21" s="2" t="s">
        <v>87</v>
      </c>
      <c r="C21" s="2" t="s">
        <v>88</v>
      </c>
      <c r="D21" s="2" t="s">
        <v>308</v>
      </c>
      <c r="E21" s="2" t="s">
        <v>401</v>
      </c>
      <c r="F21" s="2" t="s">
        <v>383</v>
      </c>
      <c r="G21" s="2" t="s">
        <v>23</v>
      </c>
      <c r="H21" s="20">
        <v>1</v>
      </c>
      <c r="I21" s="22">
        <v>163</v>
      </c>
      <c r="J21" s="24">
        <v>45669</v>
      </c>
      <c r="K21" s="2" t="s">
        <v>49</v>
      </c>
      <c r="L21" s="2">
        <v>27</v>
      </c>
      <c r="M21" s="23">
        <f t="shared" si="0"/>
        <v>163</v>
      </c>
      <c r="N21" s="23">
        <f t="shared" si="1"/>
        <v>136</v>
      </c>
    </row>
    <row r="22" spans="1:14" ht="14.25" customHeight="1">
      <c r="A22" s="2" t="s">
        <v>89</v>
      </c>
      <c r="B22" s="2" t="s">
        <v>19</v>
      </c>
      <c r="C22" s="2" t="s">
        <v>90</v>
      </c>
      <c r="D22" s="2" t="s">
        <v>309</v>
      </c>
      <c r="E22" s="2" t="s">
        <v>402</v>
      </c>
      <c r="F22" s="2" t="s">
        <v>392</v>
      </c>
      <c r="G22" s="2" t="s">
        <v>92</v>
      </c>
      <c r="H22" s="2">
        <v>10</v>
      </c>
      <c r="I22" s="22">
        <v>18</v>
      </c>
      <c r="J22" s="24">
        <v>45669</v>
      </c>
      <c r="K22" s="2" t="s">
        <v>93</v>
      </c>
      <c r="L22" s="2">
        <v>29</v>
      </c>
      <c r="M22" s="23">
        <f t="shared" si="0"/>
        <v>180</v>
      </c>
      <c r="N22" s="23">
        <f t="shared" si="1"/>
        <v>151</v>
      </c>
    </row>
    <row r="23" spans="1:14" ht="14.25" customHeight="1">
      <c r="A23" s="2" t="s">
        <v>94</v>
      </c>
      <c r="B23" s="2" t="s">
        <v>95</v>
      </c>
      <c r="C23" s="2" t="s">
        <v>96</v>
      </c>
      <c r="D23" s="2" t="s">
        <v>310</v>
      </c>
      <c r="E23" s="2" t="s">
        <v>403</v>
      </c>
      <c r="F23" s="2" t="s">
        <v>392</v>
      </c>
      <c r="G23" s="2" t="s">
        <v>70</v>
      </c>
      <c r="H23" s="20">
        <v>1</v>
      </c>
      <c r="I23" s="22">
        <v>119</v>
      </c>
      <c r="J23" s="24">
        <v>45669</v>
      </c>
      <c r="K23" s="2" t="s">
        <v>55</v>
      </c>
      <c r="L23" s="2">
        <v>47</v>
      </c>
      <c r="M23" s="23">
        <f t="shared" si="0"/>
        <v>119</v>
      </c>
      <c r="N23" s="23">
        <f t="shared" si="1"/>
        <v>72</v>
      </c>
    </row>
    <row r="24" spans="1:14" ht="14.25" customHeight="1">
      <c r="A24" s="2" t="s">
        <v>64</v>
      </c>
      <c r="B24" s="2" t="s">
        <v>25</v>
      </c>
      <c r="C24" s="2" t="s">
        <v>97</v>
      </c>
      <c r="D24" s="2" t="s">
        <v>311</v>
      </c>
      <c r="E24" s="2" t="s">
        <v>404</v>
      </c>
      <c r="F24" s="2" t="s">
        <v>379</v>
      </c>
      <c r="G24" s="2" t="s">
        <v>23</v>
      </c>
      <c r="H24" s="20">
        <v>1</v>
      </c>
      <c r="I24" s="22">
        <v>692</v>
      </c>
      <c r="J24" s="24">
        <v>45992</v>
      </c>
      <c r="K24" s="2" t="s">
        <v>93</v>
      </c>
      <c r="L24" s="2">
        <v>86</v>
      </c>
      <c r="M24" s="23">
        <f t="shared" si="0"/>
        <v>692</v>
      </c>
      <c r="N24" s="23">
        <f t="shared" si="1"/>
        <v>606</v>
      </c>
    </row>
    <row r="25" spans="1:14" ht="14.25" customHeight="1">
      <c r="A25" s="2" t="s">
        <v>94</v>
      </c>
      <c r="B25" s="2" t="s">
        <v>98</v>
      </c>
      <c r="C25" s="2" t="s">
        <v>99</v>
      </c>
      <c r="D25" s="2" t="s">
        <v>312</v>
      </c>
      <c r="E25" s="2" t="s">
        <v>405</v>
      </c>
      <c r="F25" s="2" t="s">
        <v>389</v>
      </c>
      <c r="G25" s="2" t="s">
        <v>48</v>
      </c>
      <c r="H25" s="20">
        <v>1</v>
      </c>
      <c r="I25" s="22">
        <v>33</v>
      </c>
      <c r="J25" s="24">
        <v>45669</v>
      </c>
      <c r="K25" s="2" t="s">
        <v>30</v>
      </c>
      <c r="L25" s="2">
        <v>107</v>
      </c>
      <c r="M25" s="23">
        <f t="shared" si="0"/>
        <v>33</v>
      </c>
      <c r="N25" s="23">
        <f t="shared" si="1"/>
        <v>-74</v>
      </c>
    </row>
    <row r="26" spans="1:14" ht="14.25" customHeight="1">
      <c r="A26" s="2" t="s">
        <v>100</v>
      </c>
      <c r="B26" s="2" t="s">
        <v>101</v>
      </c>
      <c r="C26" s="2" t="s">
        <v>102</v>
      </c>
      <c r="D26" s="2" t="s">
        <v>313</v>
      </c>
      <c r="E26" s="2" t="s">
        <v>406</v>
      </c>
      <c r="F26" s="2" t="s">
        <v>396</v>
      </c>
      <c r="G26" s="2" t="s">
        <v>70</v>
      </c>
      <c r="H26" s="20">
        <v>1</v>
      </c>
      <c r="I26" s="22">
        <v>599</v>
      </c>
      <c r="J26" s="24">
        <v>45669</v>
      </c>
      <c r="K26" s="2" t="s">
        <v>30</v>
      </c>
      <c r="L26" s="2">
        <v>10</v>
      </c>
      <c r="M26" s="23">
        <f t="shared" si="0"/>
        <v>599</v>
      </c>
      <c r="N26" s="23">
        <f t="shared" si="1"/>
        <v>589</v>
      </c>
    </row>
    <row r="27" spans="1:14" ht="14.25" customHeight="1">
      <c r="A27" s="2" t="s">
        <v>103</v>
      </c>
      <c r="B27" s="2" t="s">
        <v>104</v>
      </c>
      <c r="C27" s="2" t="s">
        <v>489</v>
      </c>
      <c r="D27" s="2" t="s">
        <v>105</v>
      </c>
      <c r="E27" s="2" t="s">
        <v>407</v>
      </c>
      <c r="F27" s="2" t="s">
        <v>396</v>
      </c>
      <c r="G27" s="2" t="s">
        <v>23</v>
      </c>
      <c r="H27" s="2">
        <v>10</v>
      </c>
      <c r="I27" s="22">
        <v>779</v>
      </c>
      <c r="J27" s="24">
        <v>45669</v>
      </c>
      <c r="K27" s="2" t="s">
        <v>49</v>
      </c>
      <c r="L27" s="2">
        <v>13</v>
      </c>
      <c r="M27" s="23">
        <f t="shared" si="0"/>
        <v>7790</v>
      </c>
      <c r="N27" s="23">
        <f t="shared" si="1"/>
        <v>7777</v>
      </c>
    </row>
    <row r="28" spans="1:14" ht="14.25" customHeight="1">
      <c r="A28" s="2" t="s">
        <v>106</v>
      </c>
      <c r="B28" s="2" t="s">
        <v>107</v>
      </c>
      <c r="C28" s="2" t="s">
        <v>108</v>
      </c>
      <c r="D28" s="2" t="s">
        <v>109</v>
      </c>
      <c r="E28" s="2" t="s">
        <v>408</v>
      </c>
      <c r="F28" s="2" t="s">
        <v>381</v>
      </c>
      <c r="G28" s="2" t="s">
        <v>29</v>
      </c>
      <c r="H28" s="2">
        <v>10</v>
      </c>
      <c r="I28" s="22">
        <v>403</v>
      </c>
      <c r="J28" s="24">
        <v>45669</v>
      </c>
      <c r="K28" s="2" t="s">
        <v>55</v>
      </c>
      <c r="L28" s="2">
        <v>7</v>
      </c>
      <c r="M28" s="23">
        <f t="shared" si="0"/>
        <v>4030</v>
      </c>
      <c r="N28" s="23">
        <f t="shared" si="1"/>
        <v>4023</v>
      </c>
    </row>
    <row r="29" spans="1:14" ht="14.25" customHeight="1">
      <c r="A29" s="2" t="s">
        <v>64</v>
      </c>
      <c r="B29" s="2" t="s">
        <v>110</v>
      </c>
      <c r="C29" s="2" t="s">
        <v>111</v>
      </c>
      <c r="D29" s="2" t="s">
        <v>314</v>
      </c>
      <c r="E29" s="2" t="s">
        <v>409</v>
      </c>
      <c r="F29" s="2" t="s">
        <v>389</v>
      </c>
      <c r="G29" s="2" t="s">
        <v>499</v>
      </c>
      <c r="H29" s="20">
        <v>1</v>
      </c>
      <c r="I29" s="22">
        <v>46</v>
      </c>
      <c r="J29" s="24">
        <v>45669</v>
      </c>
      <c r="K29" s="2" t="s">
        <v>37</v>
      </c>
      <c r="L29" s="2">
        <v>3</v>
      </c>
      <c r="M29" s="23">
        <f t="shared" si="0"/>
        <v>46</v>
      </c>
      <c r="N29" s="23">
        <f t="shared" si="1"/>
        <v>43</v>
      </c>
    </row>
    <row r="30" spans="1:14" ht="14.25" customHeight="1">
      <c r="A30" s="2" t="s">
        <v>112</v>
      </c>
      <c r="B30" s="2" t="s">
        <v>113</v>
      </c>
      <c r="C30" s="2" t="s">
        <v>114</v>
      </c>
      <c r="D30" s="2" t="s">
        <v>315</v>
      </c>
      <c r="E30" s="2" t="s">
        <v>410</v>
      </c>
      <c r="F30" s="2" t="s">
        <v>392</v>
      </c>
      <c r="G30" s="2" t="s">
        <v>92</v>
      </c>
      <c r="H30" s="2">
        <v>10</v>
      </c>
      <c r="I30" s="22">
        <v>26</v>
      </c>
      <c r="J30" s="24">
        <v>45669</v>
      </c>
      <c r="K30" s="2" t="s">
        <v>37</v>
      </c>
      <c r="L30" s="2">
        <v>30</v>
      </c>
      <c r="M30" s="23">
        <f t="shared" si="0"/>
        <v>260</v>
      </c>
      <c r="N30" s="23">
        <f t="shared" si="1"/>
        <v>230</v>
      </c>
    </row>
    <row r="31" spans="1:14" ht="14.25" customHeight="1">
      <c r="A31" s="2" t="s">
        <v>24</v>
      </c>
      <c r="B31" s="2" t="s">
        <v>115</v>
      </c>
      <c r="C31" s="2" t="s">
        <v>116</v>
      </c>
      <c r="D31" s="2" t="s">
        <v>316</v>
      </c>
      <c r="E31" s="2" t="s">
        <v>411</v>
      </c>
      <c r="F31" s="2" t="s">
        <v>392</v>
      </c>
      <c r="G31" s="2" t="s">
        <v>41</v>
      </c>
      <c r="H31" s="20">
        <v>1</v>
      </c>
      <c r="I31" s="22">
        <v>24</v>
      </c>
      <c r="J31" s="24">
        <v>45992</v>
      </c>
      <c r="K31" s="2" t="s">
        <v>30</v>
      </c>
      <c r="L31" s="2">
        <v>58</v>
      </c>
      <c r="M31" s="23">
        <f t="shared" si="0"/>
        <v>24</v>
      </c>
      <c r="N31" s="23">
        <f t="shared" si="1"/>
        <v>-34</v>
      </c>
    </row>
    <row r="32" spans="1:14" ht="14.25" customHeight="1">
      <c r="A32" s="2" t="s">
        <v>64</v>
      </c>
      <c r="B32" s="2" t="s">
        <v>117</v>
      </c>
      <c r="C32" s="2" t="s">
        <v>118</v>
      </c>
      <c r="D32" s="2" t="s">
        <v>317</v>
      </c>
      <c r="E32" s="2" t="s">
        <v>412</v>
      </c>
      <c r="F32" s="2" t="s">
        <v>389</v>
      </c>
      <c r="G32" s="2" t="s">
        <v>48</v>
      </c>
      <c r="H32" s="2">
        <v>1</v>
      </c>
      <c r="I32" s="22">
        <v>46</v>
      </c>
      <c r="J32" s="24">
        <v>45992</v>
      </c>
      <c r="K32" s="2" t="s">
        <v>37</v>
      </c>
      <c r="L32" s="2">
        <v>58</v>
      </c>
      <c r="M32" s="23">
        <f t="shared" si="0"/>
        <v>46</v>
      </c>
      <c r="N32" s="23">
        <f t="shared" si="1"/>
        <v>-12</v>
      </c>
    </row>
    <row r="33" spans="1:14" ht="14.25" customHeight="1">
      <c r="A33" s="2" t="s">
        <v>86</v>
      </c>
      <c r="B33" s="2" t="s">
        <v>119</v>
      </c>
      <c r="C33" s="2" t="s">
        <v>120</v>
      </c>
      <c r="D33" s="2" t="s">
        <v>318</v>
      </c>
      <c r="E33" s="2" t="s">
        <v>413</v>
      </c>
      <c r="F33" s="2" t="s">
        <v>383</v>
      </c>
      <c r="G33" s="2" t="s">
        <v>499</v>
      </c>
      <c r="H33" s="2">
        <v>7</v>
      </c>
      <c r="I33" s="22">
        <v>190</v>
      </c>
      <c r="J33" s="24">
        <v>45669</v>
      </c>
      <c r="K33" s="2" t="s">
        <v>55</v>
      </c>
      <c r="L33" s="2">
        <v>24</v>
      </c>
      <c r="M33" s="23">
        <f t="shared" si="0"/>
        <v>1330</v>
      </c>
      <c r="N33" s="23">
        <f t="shared" si="1"/>
        <v>1306</v>
      </c>
    </row>
    <row r="34" spans="1:14" ht="14.25" customHeight="1">
      <c r="A34" s="2" t="s">
        <v>89</v>
      </c>
      <c r="B34" s="2" t="s">
        <v>119</v>
      </c>
      <c r="C34" s="2" t="s">
        <v>121</v>
      </c>
      <c r="D34" s="2" t="s">
        <v>122</v>
      </c>
      <c r="E34" s="2" t="s">
        <v>414</v>
      </c>
      <c r="F34" s="2" t="s">
        <v>396</v>
      </c>
      <c r="G34" s="2" t="s">
        <v>499</v>
      </c>
      <c r="H34" s="2">
        <v>10</v>
      </c>
      <c r="I34" s="22">
        <v>29</v>
      </c>
      <c r="J34" s="24">
        <v>45992</v>
      </c>
      <c r="K34" s="2" t="s">
        <v>37</v>
      </c>
      <c r="L34" s="2">
        <v>94</v>
      </c>
      <c r="M34" s="23">
        <f t="shared" si="0"/>
        <v>290</v>
      </c>
      <c r="N34" s="23">
        <f t="shared" si="1"/>
        <v>196</v>
      </c>
    </row>
    <row r="35" spans="1:14" ht="14.25" customHeight="1">
      <c r="A35" s="2" t="s">
        <v>106</v>
      </c>
      <c r="B35" s="2" t="s">
        <v>123</v>
      </c>
      <c r="C35" s="2" t="s">
        <v>124</v>
      </c>
      <c r="D35" s="2" t="s">
        <v>319</v>
      </c>
      <c r="E35" s="2" t="s">
        <v>415</v>
      </c>
      <c r="F35" s="2" t="s">
        <v>379</v>
      </c>
      <c r="G35" s="2" t="s">
        <v>500</v>
      </c>
      <c r="H35" s="20">
        <v>1</v>
      </c>
      <c r="I35" s="22">
        <v>906</v>
      </c>
      <c r="J35" s="24">
        <v>45669</v>
      </c>
      <c r="K35" s="2" t="s">
        <v>30</v>
      </c>
      <c r="L35" s="2">
        <v>9</v>
      </c>
      <c r="M35" s="23">
        <f t="shared" si="0"/>
        <v>906</v>
      </c>
      <c r="N35" s="23">
        <f t="shared" si="1"/>
        <v>897</v>
      </c>
    </row>
    <row r="36" spans="1:14" ht="14.25" customHeight="1">
      <c r="A36" s="2" t="s">
        <v>94</v>
      </c>
      <c r="B36" s="2" t="s">
        <v>57</v>
      </c>
      <c r="C36" s="2" t="s">
        <v>125</v>
      </c>
      <c r="D36" s="2" t="s">
        <v>126</v>
      </c>
      <c r="E36" s="2" t="s">
        <v>416</v>
      </c>
      <c r="F36" s="2" t="s">
        <v>396</v>
      </c>
      <c r="G36" s="2" t="s">
        <v>70</v>
      </c>
      <c r="H36" s="20">
        <v>1</v>
      </c>
      <c r="I36" s="22">
        <v>779</v>
      </c>
      <c r="J36" s="24">
        <v>45992</v>
      </c>
      <c r="K36" s="2" t="s">
        <v>37</v>
      </c>
      <c r="L36" s="2">
        <v>16</v>
      </c>
      <c r="M36" s="23">
        <f t="shared" si="0"/>
        <v>779</v>
      </c>
      <c r="N36" s="23">
        <f t="shared" si="1"/>
        <v>763</v>
      </c>
    </row>
    <row r="37" spans="1:14" ht="14.25" customHeight="1">
      <c r="A37" s="2" t="s">
        <v>106</v>
      </c>
      <c r="B37" s="2" t="s">
        <v>127</v>
      </c>
      <c r="C37" s="2" t="s">
        <v>128</v>
      </c>
      <c r="D37" s="2" t="s">
        <v>320</v>
      </c>
      <c r="E37" s="2" t="s">
        <v>417</v>
      </c>
      <c r="F37" s="2" t="s">
        <v>396</v>
      </c>
      <c r="G37" s="2" t="s">
        <v>48</v>
      </c>
      <c r="H37" s="20">
        <v>1</v>
      </c>
      <c r="I37" s="22">
        <v>41</v>
      </c>
      <c r="J37" s="24">
        <v>45992</v>
      </c>
      <c r="K37" s="2" t="s">
        <v>37</v>
      </c>
      <c r="L37" s="2">
        <v>7</v>
      </c>
      <c r="M37" s="23">
        <f t="shared" si="0"/>
        <v>41</v>
      </c>
      <c r="N37" s="23">
        <f t="shared" si="1"/>
        <v>34</v>
      </c>
    </row>
    <row r="38" spans="1:14" ht="14.25" customHeight="1">
      <c r="A38" s="2" t="s">
        <v>24</v>
      </c>
      <c r="B38" s="2" t="s">
        <v>129</v>
      </c>
      <c r="C38" s="2" t="s">
        <v>130</v>
      </c>
      <c r="D38" s="2" t="s">
        <v>321</v>
      </c>
      <c r="E38" s="2" t="s">
        <v>418</v>
      </c>
      <c r="F38" s="2" t="s">
        <v>383</v>
      </c>
      <c r="G38" s="2" t="s">
        <v>41</v>
      </c>
      <c r="H38" s="2">
        <v>10</v>
      </c>
      <c r="I38" s="22">
        <v>180</v>
      </c>
      <c r="J38" s="24">
        <v>45992</v>
      </c>
      <c r="K38" s="2" t="s">
        <v>93</v>
      </c>
      <c r="L38" s="2">
        <v>51</v>
      </c>
      <c r="M38" s="23">
        <f t="shared" si="0"/>
        <v>1800</v>
      </c>
      <c r="N38" s="23">
        <f t="shared" si="1"/>
        <v>1749</v>
      </c>
    </row>
    <row r="39" spans="1:14" ht="14.25" customHeight="1">
      <c r="A39" s="2" t="s">
        <v>106</v>
      </c>
      <c r="B39" s="2" t="s">
        <v>131</v>
      </c>
      <c r="C39" s="2" t="s">
        <v>132</v>
      </c>
      <c r="D39" s="2" t="s">
        <v>133</v>
      </c>
      <c r="E39" s="2" t="s">
        <v>419</v>
      </c>
      <c r="F39" s="2" t="s">
        <v>396</v>
      </c>
      <c r="G39" s="2" t="s">
        <v>499</v>
      </c>
      <c r="H39" s="20">
        <v>1</v>
      </c>
      <c r="I39" s="22">
        <v>973</v>
      </c>
      <c r="J39" s="24">
        <v>45669</v>
      </c>
      <c r="K39" s="2" t="s">
        <v>49</v>
      </c>
      <c r="L39" s="2">
        <v>18</v>
      </c>
      <c r="M39" s="23">
        <f t="shared" si="0"/>
        <v>973</v>
      </c>
      <c r="N39" s="23">
        <f t="shared" si="1"/>
        <v>955</v>
      </c>
    </row>
    <row r="40" spans="1:14" ht="14.25" customHeight="1">
      <c r="A40" s="2" t="s">
        <v>112</v>
      </c>
      <c r="B40" s="2" t="s">
        <v>134</v>
      </c>
      <c r="C40" s="2" t="s">
        <v>135</v>
      </c>
      <c r="D40" s="2" t="s">
        <v>136</v>
      </c>
      <c r="E40" s="2" t="s">
        <v>506</v>
      </c>
      <c r="F40" s="2" t="s">
        <v>420</v>
      </c>
      <c r="G40" s="2" t="s">
        <v>36</v>
      </c>
      <c r="H40" s="2">
        <v>3</v>
      </c>
      <c r="I40" s="22">
        <v>761</v>
      </c>
      <c r="J40" s="24">
        <v>45669</v>
      </c>
      <c r="K40" s="2" t="s">
        <v>30</v>
      </c>
      <c r="L40" s="2">
        <v>1</v>
      </c>
      <c r="M40" s="23">
        <f t="shared" si="0"/>
        <v>2283</v>
      </c>
      <c r="N40" s="23">
        <f t="shared" si="1"/>
        <v>2282</v>
      </c>
    </row>
    <row r="41" spans="1:14" ht="14.25" customHeight="1">
      <c r="A41" s="2" t="s">
        <v>137</v>
      </c>
      <c r="B41" s="2" t="s">
        <v>138</v>
      </c>
      <c r="C41" s="2" t="s">
        <v>139</v>
      </c>
      <c r="D41" s="2" t="s">
        <v>322</v>
      </c>
      <c r="E41" s="2" t="s">
        <v>421</v>
      </c>
      <c r="F41" s="2" t="s">
        <v>392</v>
      </c>
      <c r="G41" s="2" t="s">
        <v>48</v>
      </c>
      <c r="H41" s="2">
        <v>8</v>
      </c>
      <c r="I41" s="22">
        <v>24</v>
      </c>
      <c r="J41" s="24">
        <v>45992</v>
      </c>
      <c r="K41" s="2" t="s">
        <v>37</v>
      </c>
      <c r="L41" s="2">
        <v>30</v>
      </c>
      <c r="M41" s="23">
        <f t="shared" si="0"/>
        <v>192</v>
      </c>
      <c r="N41" s="23">
        <f t="shared" si="1"/>
        <v>162</v>
      </c>
    </row>
    <row r="42" spans="1:14" ht="14.25" customHeight="1">
      <c r="A42" s="2" t="s">
        <v>78</v>
      </c>
      <c r="B42" s="2" t="s">
        <v>140</v>
      </c>
      <c r="C42" s="2" t="s">
        <v>141</v>
      </c>
      <c r="D42" s="2" t="s">
        <v>323</v>
      </c>
      <c r="E42" s="2" t="s">
        <v>422</v>
      </c>
      <c r="F42" s="2" t="s">
        <v>383</v>
      </c>
      <c r="G42" s="2" t="s">
        <v>41</v>
      </c>
      <c r="H42" s="20">
        <v>1</v>
      </c>
      <c r="I42" s="22">
        <v>14</v>
      </c>
      <c r="J42" s="24">
        <v>45669</v>
      </c>
      <c r="K42" s="2" t="s">
        <v>30</v>
      </c>
      <c r="L42" s="2">
        <v>29</v>
      </c>
      <c r="M42" s="23">
        <f t="shared" si="0"/>
        <v>14</v>
      </c>
      <c r="N42" s="23">
        <f t="shared" si="1"/>
        <v>-15</v>
      </c>
    </row>
    <row r="43" spans="1:14" ht="14.25" customHeight="1">
      <c r="A43" s="2" t="s">
        <v>18</v>
      </c>
      <c r="B43" s="2" t="s">
        <v>123</v>
      </c>
      <c r="C43" s="2" t="s">
        <v>142</v>
      </c>
      <c r="D43" s="2" t="s">
        <v>324</v>
      </c>
      <c r="E43" s="2" t="s">
        <v>423</v>
      </c>
      <c r="F43" s="2" t="s">
        <v>381</v>
      </c>
      <c r="G43" s="2" t="s">
        <v>70</v>
      </c>
      <c r="H43" s="20">
        <v>1</v>
      </c>
      <c r="I43" s="22">
        <v>41</v>
      </c>
      <c r="J43" s="24">
        <v>45992</v>
      </c>
      <c r="K43" s="2" t="s">
        <v>49</v>
      </c>
      <c r="L43" s="2">
        <v>1</v>
      </c>
      <c r="M43" s="23">
        <f t="shared" si="0"/>
        <v>41</v>
      </c>
      <c r="N43" s="23">
        <f t="shared" si="1"/>
        <v>40</v>
      </c>
    </row>
    <row r="44" spans="1:14" ht="14.25" customHeight="1">
      <c r="A44" s="2" t="s">
        <v>106</v>
      </c>
      <c r="B44" s="2" t="s">
        <v>143</v>
      </c>
      <c r="C44" s="2" t="s">
        <v>144</v>
      </c>
      <c r="D44" s="2" t="s">
        <v>325</v>
      </c>
      <c r="E44" s="2" t="s">
        <v>424</v>
      </c>
      <c r="F44" s="2" t="s">
        <v>381</v>
      </c>
      <c r="G44" s="2" t="s">
        <v>41</v>
      </c>
      <c r="H44" s="20">
        <v>1</v>
      </c>
      <c r="I44" s="22">
        <v>349</v>
      </c>
      <c r="J44" s="24">
        <v>45992</v>
      </c>
      <c r="K44" s="2" t="s">
        <v>37</v>
      </c>
      <c r="L44" s="2">
        <v>43</v>
      </c>
      <c r="M44" s="23">
        <f t="shared" si="0"/>
        <v>349</v>
      </c>
      <c r="N44" s="23">
        <f t="shared" si="1"/>
        <v>306</v>
      </c>
    </row>
    <row r="45" spans="1:14" ht="14.25" customHeight="1">
      <c r="A45" s="2" t="s">
        <v>73</v>
      </c>
      <c r="B45" s="2" t="s">
        <v>145</v>
      </c>
      <c r="C45" s="2" t="s">
        <v>146</v>
      </c>
      <c r="D45" s="2" t="s">
        <v>326</v>
      </c>
      <c r="E45" s="2" t="s">
        <v>425</v>
      </c>
      <c r="F45" s="2" t="s">
        <v>392</v>
      </c>
      <c r="G45" s="2" t="s">
        <v>77</v>
      </c>
      <c r="H45" s="2">
        <v>10</v>
      </c>
      <c r="I45" s="22">
        <v>18</v>
      </c>
      <c r="J45" s="24">
        <v>45669</v>
      </c>
      <c r="K45" s="2" t="s">
        <v>49</v>
      </c>
      <c r="L45" s="2">
        <v>19</v>
      </c>
      <c r="M45" s="23">
        <f t="shared" si="0"/>
        <v>180</v>
      </c>
      <c r="N45" s="23">
        <f t="shared" si="1"/>
        <v>161</v>
      </c>
    </row>
    <row r="46" spans="1:14" ht="14.25" customHeight="1">
      <c r="A46" s="2" t="s">
        <v>106</v>
      </c>
      <c r="B46" s="2" t="s">
        <v>147</v>
      </c>
      <c r="C46" s="2" t="s">
        <v>148</v>
      </c>
      <c r="D46" s="2" t="s">
        <v>149</v>
      </c>
      <c r="E46" s="2" t="s">
        <v>426</v>
      </c>
      <c r="F46" s="2" t="s">
        <v>396</v>
      </c>
      <c r="G46" s="2" t="s">
        <v>70</v>
      </c>
      <c r="H46" s="20">
        <v>1</v>
      </c>
      <c r="I46" s="22">
        <v>30</v>
      </c>
      <c r="J46" s="24">
        <v>45669</v>
      </c>
      <c r="K46" s="2" t="s">
        <v>30</v>
      </c>
      <c r="L46" s="2">
        <v>4</v>
      </c>
      <c r="M46" s="23">
        <f t="shared" si="0"/>
        <v>30</v>
      </c>
      <c r="N46" s="23">
        <f t="shared" si="1"/>
        <v>26</v>
      </c>
    </row>
    <row r="47" spans="1:14" ht="14.25" customHeight="1">
      <c r="A47" s="2" t="s">
        <v>14</v>
      </c>
      <c r="B47" s="2" t="s">
        <v>150</v>
      </c>
      <c r="C47" s="2" t="s">
        <v>151</v>
      </c>
      <c r="D47" s="2" t="s">
        <v>152</v>
      </c>
      <c r="E47" s="2" t="s">
        <v>427</v>
      </c>
      <c r="F47" s="2" t="s">
        <v>381</v>
      </c>
      <c r="G47" s="2" t="s">
        <v>70</v>
      </c>
      <c r="H47" s="20">
        <v>1</v>
      </c>
      <c r="I47" s="22">
        <v>947</v>
      </c>
      <c r="J47" s="24">
        <v>45669</v>
      </c>
      <c r="K47" s="2" t="s">
        <v>49</v>
      </c>
      <c r="L47" s="2">
        <v>10</v>
      </c>
      <c r="M47" s="23">
        <f t="shared" si="0"/>
        <v>947</v>
      </c>
      <c r="N47" s="23">
        <f t="shared" si="1"/>
        <v>937</v>
      </c>
    </row>
    <row r="48" spans="1:14" ht="14.25" customHeight="1">
      <c r="A48" s="2" t="s">
        <v>103</v>
      </c>
      <c r="B48" s="2" t="s">
        <v>153</v>
      </c>
      <c r="C48" s="2" t="s">
        <v>490</v>
      </c>
      <c r="D48" s="2" t="s">
        <v>154</v>
      </c>
      <c r="E48" s="2" t="s">
        <v>428</v>
      </c>
      <c r="F48" s="2" t="s">
        <v>379</v>
      </c>
      <c r="G48" s="2" t="s">
        <v>23</v>
      </c>
      <c r="H48" s="2">
        <v>7</v>
      </c>
      <c r="I48" s="22">
        <v>714</v>
      </c>
      <c r="J48" s="24">
        <v>45669</v>
      </c>
      <c r="K48" s="2" t="s">
        <v>37</v>
      </c>
      <c r="L48" s="2">
        <v>119</v>
      </c>
      <c r="M48" s="23">
        <f t="shared" si="0"/>
        <v>4998</v>
      </c>
      <c r="N48" s="23">
        <f t="shared" si="1"/>
        <v>4879</v>
      </c>
    </row>
    <row r="49" spans="1:14" ht="14.25" customHeight="1">
      <c r="A49" s="2" t="s">
        <v>86</v>
      </c>
      <c r="B49" s="2" t="s">
        <v>98</v>
      </c>
      <c r="C49" s="2" t="s">
        <v>155</v>
      </c>
      <c r="D49" s="2" t="s">
        <v>156</v>
      </c>
      <c r="E49" s="2" t="s">
        <v>429</v>
      </c>
      <c r="F49" s="2" t="s">
        <v>383</v>
      </c>
      <c r="G49" s="2" t="s">
        <v>36</v>
      </c>
      <c r="H49" s="2">
        <v>6</v>
      </c>
      <c r="I49" s="22">
        <v>19</v>
      </c>
      <c r="J49" s="24">
        <v>45669</v>
      </c>
      <c r="K49" s="2" t="s">
        <v>37</v>
      </c>
      <c r="L49" s="2">
        <v>92</v>
      </c>
      <c r="M49" s="23">
        <f t="shared" si="0"/>
        <v>114</v>
      </c>
      <c r="N49" s="23">
        <f t="shared" si="1"/>
        <v>22</v>
      </c>
    </row>
    <row r="50" spans="1:14" ht="14.25" customHeight="1">
      <c r="A50" s="2" t="s">
        <v>14</v>
      </c>
      <c r="B50" s="2" t="s">
        <v>95</v>
      </c>
      <c r="C50" s="2" t="s">
        <v>157</v>
      </c>
      <c r="D50" s="2" t="s">
        <v>158</v>
      </c>
      <c r="E50" s="2" t="s">
        <v>507</v>
      </c>
      <c r="F50" s="2" t="s">
        <v>386</v>
      </c>
      <c r="G50" s="2" t="s">
        <v>41</v>
      </c>
      <c r="H50" s="20">
        <v>1</v>
      </c>
      <c r="I50" s="22">
        <v>777</v>
      </c>
      <c r="J50" s="24">
        <v>45992</v>
      </c>
      <c r="K50" s="2" t="s">
        <v>93</v>
      </c>
      <c r="L50" s="2">
        <v>13</v>
      </c>
      <c r="M50" s="23">
        <f t="shared" si="0"/>
        <v>777</v>
      </c>
      <c r="N50" s="23">
        <f t="shared" si="1"/>
        <v>764</v>
      </c>
    </row>
    <row r="51" spans="1:14" ht="14.25" customHeight="1">
      <c r="A51" s="2" t="s">
        <v>42</v>
      </c>
      <c r="B51" s="2" t="s">
        <v>67</v>
      </c>
      <c r="C51" s="2" t="s">
        <v>159</v>
      </c>
      <c r="D51" s="2" t="s">
        <v>327</v>
      </c>
      <c r="E51" s="2" t="s">
        <v>430</v>
      </c>
      <c r="F51" s="2" t="s">
        <v>389</v>
      </c>
      <c r="G51" s="2" t="s">
        <v>77</v>
      </c>
      <c r="H51" s="20">
        <v>1</v>
      </c>
      <c r="I51" s="22">
        <v>222</v>
      </c>
      <c r="J51" s="24">
        <v>45669</v>
      </c>
      <c r="K51" s="2" t="s">
        <v>37</v>
      </c>
      <c r="L51" s="2">
        <v>100</v>
      </c>
      <c r="M51" s="23">
        <f t="shared" si="0"/>
        <v>222</v>
      </c>
      <c r="N51" s="23">
        <f t="shared" si="1"/>
        <v>122</v>
      </c>
    </row>
    <row r="52" spans="1:14" ht="14.25" customHeight="1">
      <c r="A52" s="2" t="s">
        <v>56</v>
      </c>
      <c r="B52" s="2" t="s">
        <v>51</v>
      </c>
      <c r="C52" s="2" t="s">
        <v>491</v>
      </c>
      <c r="D52" s="2" t="s">
        <v>160</v>
      </c>
      <c r="E52" s="2" t="s">
        <v>431</v>
      </c>
      <c r="F52" s="2" t="s">
        <v>396</v>
      </c>
      <c r="G52" s="2" t="s">
        <v>70</v>
      </c>
      <c r="H52" s="2">
        <v>7</v>
      </c>
      <c r="I52" s="22">
        <v>275</v>
      </c>
      <c r="J52" s="24">
        <v>45992</v>
      </c>
      <c r="K52" s="2" t="s">
        <v>30</v>
      </c>
      <c r="L52" s="2">
        <v>2</v>
      </c>
      <c r="M52" s="23">
        <f t="shared" si="0"/>
        <v>1925</v>
      </c>
      <c r="N52" s="23">
        <f t="shared" si="1"/>
        <v>1923</v>
      </c>
    </row>
    <row r="53" spans="1:14" ht="14.25" customHeight="1">
      <c r="A53" s="2" t="s">
        <v>27</v>
      </c>
      <c r="B53" s="2" t="s">
        <v>59</v>
      </c>
      <c r="C53" s="2" t="s">
        <v>161</v>
      </c>
      <c r="D53" s="2" t="s">
        <v>162</v>
      </c>
      <c r="E53" s="2" t="s">
        <v>508</v>
      </c>
      <c r="F53" s="2" t="s">
        <v>390</v>
      </c>
      <c r="G53" s="2" t="s">
        <v>48</v>
      </c>
      <c r="H53" s="2">
        <v>10</v>
      </c>
      <c r="I53" s="22">
        <v>205</v>
      </c>
      <c r="J53" s="24">
        <v>45992</v>
      </c>
      <c r="K53" s="2" t="s">
        <v>30</v>
      </c>
      <c r="L53" s="2">
        <v>29</v>
      </c>
      <c r="M53" s="23">
        <f t="shared" si="0"/>
        <v>2050</v>
      </c>
      <c r="N53" s="23">
        <f t="shared" si="1"/>
        <v>2021</v>
      </c>
    </row>
    <row r="54" spans="1:14" ht="14.25" customHeight="1">
      <c r="A54" s="2" t="s">
        <v>14</v>
      </c>
      <c r="B54" s="2" t="s">
        <v>163</v>
      </c>
      <c r="C54" s="2" t="s">
        <v>164</v>
      </c>
      <c r="D54" s="2" t="s">
        <v>328</v>
      </c>
      <c r="E54" s="2" t="s">
        <v>432</v>
      </c>
      <c r="F54" s="2" t="s">
        <v>381</v>
      </c>
      <c r="G54" s="2" t="s">
        <v>36</v>
      </c>
      <c r="H54" s="2">
        <v>6</v>
      </c>
      <c r="I54" s="22">
        <v>417</v>
      </c>
      <c r="J54" s="24">
        <v>45992</v>
      </c>
      <c r="K54" s="2" t="s">
        <v>37</v>
      </c>
      <c r="L54" s="2">
        <v>26</v>
      </c>
      <c r="M54" s="23">
        <f t="shared" si="0"/>
        <v>2502</v>
      </c>
      <c r="N54" s="23">
        <f t="shared" si="1"/>
        <v>2476</v>
      </c>
    </row>
    <row r="55" spans="1:14" ht="14.25" customHeight="1">
      <c r="A55" s="2" t="s">
        <v>14</v>
      </c>
      <c r="B55" s="2" t="s">
        <v>165</v>
      </c>
      <c r="C55" s="2" t="s">
        <v>166</v>
      </c>
      <c r="D55" s="2" t="s">
        <v>329</v>
      </c>
      <c r="E55" s="2" t="s">
        <v>433</v>
      </c>
      <c r="F55" s="2" t="s">
        <v>389</v>
      </c>
      <c r="G55" s="2" t="s">
        <v>48</v>
      </c>
      <c r="H55" s="2">
        <v>10</v>
      </c>
      <c r="I55" s="22">
        <v>353</v>
      </c>
      <c r="J55" s="24">
        <v>45669</v>
      </c>
      <c r="K55" s="2" t="s">
        <v>93</v>
      </c>
      <c r="L55" s="2">
        <v>11</v>
      </c>
      <c r="M55" s="23">
        <f t="shared" si="0"/>
        <v>3530</v>
      </c>
      <c r="N55" s="23">
        <f t="shared" si="1"/>
        <v>3519</v>
      </c>
    </row>
    <row r="56" spans="1:14" ht="14.25" customHeight="1">
      <c r="A56" s="2" t="s">
        <v>78</v>
      </c>
      <c r="B56" s="2" t="s">
        <v>167</v>
      </c>
      <c r="C56" s="2" t="s">
        <v>168</v>
      </c>
      <c r="D56" s="2" t="s">
        <v>169</v>
      </c>
      <c r="E56" s="2" t="s">
        <v>434</v>
      </c>
      <c r="F56" s="2" t="s">
        <v>383</v>
      </c>
      <c r="G56" s="2" t="s">
        <v>41</v>
      </c>
      <c r="H56" s="20">
        <v>1</v>
      </c>
      <c r="I56" s="22">
        <v>771</v>
      </c>
      <c r="J56" s="24">
        <v>45669</v>
      </c>
      <c r="K56" s="2" t="s">
        <v>93</v>
      </c>
      <c r="L56" s="2">
        <v>9</v>
      </c>
      <c r="M56" s="23">
        <f t="shared" si="0"/>
        <v>771</v>
      </c>
      <c r="N56" s="23">
        <f t="shared" si="1"/>
        <v>762</v>
      </c>
    </row>
    <row r="57" spans="1:14" ht="14.25" customHeight="1">
      <c r="A57" s="2" t="s">
        <v>73</v>
      </c>
      <c r="B57" s="2" t="s">
        <v>83</v>
      </c>
      <c r="C57" s="2" t="s">
        <v>492</v>
      </c>
      <c r="D57" s="2" t="s">
        <v>330</v>
      </c>
      <c r="E57" s="2" t="s">
        <v>509</v>
      </c>
      <c r="F57" s="2" t="s">
        <v>386</v>
      </c>
      <c r="G57" s="2" t="s">
        <v>23</v>
      </c>
      <c r="H57" s="2">
        <v>9</v>
      </c>
      <c r="I57" s="22">
        <v>777</v>
      </c>
      <c r="J57" s="24">
        <v>45992</v>
      </c>
      <c r="K57" s="2" t="s">
        <v>93</v>
      </c>
      <c r="L57" s="2">
        <v>86</v>
      </c>
      <c r="M57" s="23">
        <f t="shared" si="0"/>
        <v>6993</v>
      </c>
      <c r="N57" s="23">
        <f t="shared" si="1"/>
        <v>6907</v>
      </c>
    </row>
    <row r="58" spans="1:14" ht="14.25" customHeight="1">
      <c r="A58" s="2" t="s">
        <v>170</v>
      </c>
      <c r="B58" s="2" t="s">
        <v>171</v>
      </c>
      <c r="C58" s="2" t="s">
        <v>172</v>
      </c>
      <c r="D58" s="2" t="s">
        <v>331</v>
      </c>
      <c r="E58" s="2" t="s">
        <v>435</v>
      </c>
      <c r="F58" s="2" t="s">
        <v>383</v>
      </c>
      <c r="G58" s="2" t="s">
        <v>41</v>
      </c>
      <c r="H58" s="20">
        <v>1</v>
      </c>
      <c r="I58" s="22">
        <v>42</v>
      </c>
      <c r="J58" s="24">
        <v>45669</v>
      </c>
      <c r="K58" s="2" t="s">
        <v>49</v>
      </c>
      <c r="L58" s="2">
        <v>31</v>
      </c>
      <c r="M58" s="23">
        <f t="shared" si="0"/>
        <v>42</v>
      </c>
      <c r="N58" s="23">
        <f t="shared" si="1"/>
        <v>11</v>
      </c>
    </row>
    <row r="59" spans="1:14" ht="14.25" customHeight="1">
      <c r="A59" s="2" t="s">
        <v>137</v>
      </c>
      <c r="B59" s="2" t="s">
        <v>173</v>
      </c>
      <c r="C59" s="2" t="s">
        <v>174</v>
      </c>
      <c r="D59" s="2" t="s">
        <v>332</v>
      </c>
      <c r="E59" s="2" t="s">
        <v>510</v>
      </c>
      <c r="F59" s="2" t="s">
        <v>390</v>
      </c>
      <c r="G59" s="2" t="s">
        <v>70</v>
      </c>
      <c r="H59" s="20">
        <v>1</v>
      </c>
      <c r="I59" s="22">
        <v>457</v>
      </c>
      <c r="J59" s="24">
        <v>45669</v>
      </c>
      <c r="K59" s="2" t="s">
        <v>49</v>
      </c>
      <c r="L59" s="2">
        <v>118</v>
      </c>
      <c r="M59" s="23">
        <f t="shared" si="0"/>
        <v>457</v>
      </c>
      <c r="N59" s="23">
        <f t="shared" si="1"/>
        <v>339</v>
      </c>
    </row>
    <row r="60" spans="1:14" ht="14.25" customHeight="1">
      <c r="A60" s="2" t="s">
        <v>24</v>
      </c>
      <c r="B60" s="2" t="s">
        <v>175</v>
      </c>
      <c r="C60" s="2" t="s">
        <v>176</v>
      </c>
      <c r="D60" s="2" t="s">
        <v>333</v>
      </c>
      <c r="E60" s="2" t="s">
        <v>436</v>
      </c>
      <c r="F60" s="2" t="s">
        <v>383</v>
      </c>
      <c r="G60" s="2" t="s">
        <v>499</v>
      </c>
      <c r="H60" s="2">
        <v>1</v>
      </c>
      <c r="I60" s="22">
        <v>119</v>
      </c>
      <c r="J60" s="24">
        <v>45992</v>
      </c>
      <c r="K60" s="2" t="s">
        <v>93</v>
      </c>
      <c r="L60" s="2">
        <v>3</v>
      </c>
      <c r="M60" s="23">
        <f t="shared" si="0"/>
        <v>119</v>
      </c>
      <c r="N60" s="23">
        <f t="shared" si="1"/>
        <v>116</v>
      </c>
    </row>
    <row r="61" spans="1:14" ht="14.25" customHeight="1">
      <c r="A61" s="2" t="s">
        <v>112</v>
      </c>
      <c r="B61" s="2" t="s">
        <v>15</v>
      </c>
      <c r="C61" s="2" t="s">
        <v>177</v>
      </c>
      <c r="D61" s="2" t="s">
        <v>334</v>
      </c>
      <c r="E61" s="2" t="s">
        <v>437</v>
      </c>
      <c r="F61" s="2" t="s">
        <v>379</v>
      </c>
      <c r="G61" s="2" t="s">
        <v>500</v>
      </c>
      <c r="H61" s="20">
        <v>1</v>
      </c>
      <c r="I61" s="22">
        <v>346</v>
      </c>
      <c r="J61" s="24">
        <v>45992</v>
      </c>
      <c r="K61" s="2" t="s">
        <v>37</v>
      </c>
      <c r="L61" s="2">
        <v>16</v>
      </c>
      <c r="M61" s="23">
        <f t="shared" si="0"/>
        <v>346</v>
      </c>
      <c r="N61" s="23">
        <f t="shared" si="1"/>
        <v>330</v>
      </c>
    </row>
    <row r="62" spans="1:14" ht="14.25" customHeight="1">
      <c r="A62" s="2" t="s">
        <v>42</v>
      </c>
      <c r="B62" s="2" t="s">
        <v>178</v>
      </c>
      <c r="C62" s="2" t="s">
        <v>179</v>
      </c>
      <c r="D62" s="2" t="s">
        <v>335</v>
      </c>
      <c r="E62" s="2" t="s">
        <v>438</v>
      </c>
      <c r="F62" s="2" t="s">
        <v>383</v>
      </c>
      <c r="G62" s="2" t="s">
        <v>23</v>
      </c>
      <c r="H62" s="2">
        <v>10</v>
      </c>
      <c r="I62" s="22">
        <v>460</v>
      </c>
      <c r="J62" s="24">
        <v>45669</v>
      </c>
      <c r="K62" s="2" t="s">
        <v>30</v>
      </c>
      <c r="L62" s="2">
        <v>26</v>
      </c>
      <c r="M62" s="23">
        <f t="shared" si="0"/>
        <v>4600</v>
      </c>
      <c r="N62" s="23">
        <f t="shared" si="1"/>
        <v>4574</v>
      </c>
    </row>
    <row r="63" spans="1:14" ht="14.25" customHeight="1">
      <c r="A63" s="2" t="s">
        <v>86</v>
      </c>
      <c r="B63" s="2" t="s">
        <v>32</v>
      </c>
      <c r="C63" s="2" t="s">
        <v>493</v>
      </c>
      <c r="D63" s="2" t="s">
        <v>180</v>
      </c>
      <c r="E63" s="2" t="s">
        <v>439</v>
      </c>
      <c r="F63" s="2" t="s">
        <v>389</v>
      </c>
      <c r="G63" s="2" t="s">
        <v>77</v>
      </c>
      <c r="H63" s="20">
        <v>1</v>
      </c>
      <c r="I63" s="22">
        <v>227</v>
      </c>
      <c r="J63" s="24">
        <v>45669</v>
      </c>
      <c r="K63" s="2" t="s">
        <v>49</v>
      </c>
      <c r="L63" s="2">
        <v>28</v>
      </c>
      <c r="M63" s="23">
        <f t="shared" si="0"/>
        <v>227</v>
      </c>
      <c r="N63" s="23">
        <f t="shared" si="1"/>
        <v>199</v>
      </c>
    </row>
    <row r="64" spans="1:14" ht="14.25" customHeight="1">
      <c r="A64" s="2" t="s">
        <v>100</v>
      </c>
      <c r="B64" s="2" t="s">
        <v>163</v>
      </c>
      <c r="C64" s="2" t="s">
        <v>181</v>
      </c>
      <c r="D64" s="2" t="s">
        <v>336</v>
      </c>
      <c r="E64" s="2" t="s">
        <v>440</v>
      </c>
      <c r="F64" s="2" t="s">
        <v>392</v>
      </c>
      <c r="G64" s="2" t="s">
        <v>36</v>
      </c>
      <c r="H64" s="2">
        <v>10</v>
      </c>
      <c r="I64" s="22">
        <v>554</v>
      </c>
      <c r="J64" s="24">
        <v>45669</v>
      </c>
      <c r="K64" s="2" t="s">
        <v>37</v>
      </c>
      <c r="L64" s="2">
        <v>19</v>
      </c>
      <c r="M64" s="23">
        <f t="shared" si="0"/>
        <v>5540</v>
      </c>
      <c r="N64" s="23">
        <f t="shared" si="1"/>
        <v>5521</v>
      </c>
    </row>
    <row r="65" spans="1:14" ht="14.25" customHeight="1">
      <c r="A65" s="2" t="s">
        <v>14</v>
      </c>
      <c r="B65" s="2" t="s">
        <v>95</v>
      </c>
      <c r="C65" s="2" t="s">
        <v>182</v>
      </c>
      <c r="D65" s="2" t="s">
        <v>183</v>
      </c>
      <c r="E65" s="2" t="s">
        <v>511</v>
      </c>
      <c r="F65" s="2" t="s">
        <v>386</v>
      </c>
      <c r="G65" s="2" t="s">
        <v>48</v>
      </c>
      <c r="H65" s="2">
        <v>10</v>
      </c>
      <c r="I65" s="22">
        <v>257</v>
      </c>
      <c r="J65" s="24">
        <v>45669</v>
      </c>
      <c r="K65" s="2" t="s">
        <v>55</v>
      </c>
      <c r="L65" s="2">
        <v>103</v>
      </c>
      <c r="M65" s="23">
        <f t="shared" si="0"/>
        <v>2570</v>
      </c>
      <c r="N65" s="23">
        <f t="shared" si="1"/>
        <v>2467</v>
      </c>
    </row>
    <row r="66" spans="1:14" ht="14.25" customHeight="1">
      <c r="A66" s="2" t="s">
        <v>137</v>
      </c>
      <c r="B66" s="2" t="s">
        <v>184</v>
      </c>
      <c r="C66" s="2" t="s">
        <v>185</v>
      </c>
      <c r="D66" s="2" t="s">
        <v>337</v>
      </c>
      <c r="E66" s="2" t="s">
        <v>441</v>
      </c>
      <c r="F66" s="2" t="s">
        <v>392</v>
      </c>
      <c r="G66" s="2" t="s">
        <v>499</v>
      </c>
      <c r="H66" s="20">
        <v>1</v>
      </c>
      <c r="I66" s="22">
        <v>810</v>
      </c>
      <c r="J66" s="24">
        <v>45669</v>
      </c>
      <c r="K66" s="2" t="s">
        <v>30</v>
      </c>
      <c r="L66" s="2">
        <v>8</v>
      </c>
      <c r="M66" s="23">
        <f t="shared" si="0"/>
        <v>810</v>
      </c>
      <c r="N66" s="23">
        <f t="shared" si="1"/>
        <v>802</v>
      </c>
    </row>
    <row r="67" spans="1:14" ht="14.25" customHeight="1">
      <c r="A67" s="2" t="s">
        <v>106</v>
      </c>
      <c r="B67" s="2" t="s">
        <v>67</v>
      </c>
      <c r="C67" s="2" t="s">
        <v>186</v>
      </c>
      <c r="D67" s="2" t="s">
        <v>338</v>
      </c>
      <c r="E67" s="2" t="s">
        <v>512</v>
      </c>
      <c r="F67" s="2" t="s">
        <v>386</v>
      </c>
      <c r="G67" s="2" t="s">
        <v>77</v>
      </c>
      <c r="H67" s="20">
        <v>1</v>
      </c>
      <c r="I67" s="22">
        <v>45</v>
      </c>
      <c r="J67" s="24">
        <v>45669</v>
      </c>
      <c r="K67" s="2" t="s">
        <v>55</v>
      </c>
      <c r="L67" s="2">
        <v>109</v>
      </c>
      <c r="M67" s="23">
        <f t="shared" ref="M67:M130" si="2">H67*I67</f>
        <v>45</v>
      </c>
      <c r="N67" s="23">
        <f t="shared" ref="N67:N130" si="3">M67-L67</f>
        <v>-64</v>
      </c>
    </row>
    <row r="68" spans="1:14" ht="14.25" customHeight="1">
      <c r="A68" s="2" t="s">
        <v>24</v>
      </c>
      <c r="B68" s="2" t="s">
        <v>138</v>
      </c>
      <c r="C68" s="2" t="s">
        <v>187</v>
      </c>
      <c r="D68" s="2" t="s">
        <v>339</v>
      </c>
      <c r="E68" s="2" t="s">
        <v>442</v>
      </c>
      <c r="F68" s="2" t="s">
        <v>379</v>
      </c>
      <c r="G68" s="2" t="s">
        <v>29</v>
      </c>
      <c r="H68" s="2">
        <v>10</v>
      </c>
      <c r="I68" s="22">
        <v>543</v>
      </c>
      <c r="J68" s="24">
        <v>45992</v>
      </c>
      <c r="K68" s="2" t="s">
        <v>93</v>
      </c>
      <c r="L68" s="2">
        <v>29</v>
      </c>
      <c r="M68" s="23">
        <f t="shared" si="2"/>
        <v>5430</v>
      </c>
      <c r="N68" s="23">
        <f t="shared" si="3"/>
        <v>5401</v>
      </c>
    </row>
    <row r="69" spans="1:14" ht="14.25" customHeight="1">
      <c r="A69" s="2" t="s">
        <v>73</v>
      </c>
      <c r="B69" s="2" t="s">
        <v>188</v>
      </c>
      <c r="C69" s="2" t="s">
        <v>189</v>
      </c>
      <c r="D69" s="2" t="s">
        <v>190</v>
      </c>
      <c r="E69" s="2" t="s">
        <v>443</v>
      </c>
      <c r="F69" s="2" t="s">
        <v>379</v>
      </c>
      <c r="G69" s="2" t="s">
        <v>41</v>
      </c>
      <c r="H69" s="2">
        <v>10</v>
      </c>
      <c r="I69" s="22">
        <v>739</v>
      </c>
      <c r="J69" s="24">
        <v>45992</v>
      </c>
      <c r="K69" s="2" t="s">
        <v>30</v>
      </c>
      <c r="L69" s="2">
        <v>0</v>
      </c>
      <c r="M69" s="23">
        <f t="shared" si="2"/>
        <v>7390</v>
      </c>
      <c r="N69" s="23">
        <f t="shared" si="3"/>
        <v>7390</v>
      </c>
    </row>
    <row r="70" spans="1:14" ht="14.25" customHeight="1">
      <c r="A70" s="2" t="s">
        <v>64</v>
      </c>
      <c r="B70" s="2" t="s">
        <v>191</v>
      </c>
      <c r="C70" s="2" t="s">
        <v>192</v>
      </c>
      <c r="D70" s="2" t="s">
        <v>340</v>
      </c>
      <c r="E70" s="2" t="s">
        <v>444</v>
      </c>
      <c r="F70" s="2" t="s">
        <v>381</v>
      </c>
      <c r="G70" s="2" t="s">
        <v>499</v>
      </c>
      <c r="H70" s="2">
        <v>10</v>
      </c>
      <c r="I70" s="22">
        <v>525</v>
      </c>
      <c r="J70" s="24">
        <v>45669</v>
      </c>
      <c r="K70" s="2" t="s">
        <v>30</v>
      </c>
      <c r="L70" s="2">
        <v>77</v>
      </c>
      <c r="M70" s="23">
        <f t="shared" si="2"/>
        <v>5250</v>
      </c>
      <c r="N70" s="23">
        <f t="shared" si="3"/>
        <v>5173</v>
      </c>
    </row>
    <row r="71" spans="1:14" ht="14.25" customHeight="1">
      <c r="A71" s="2" t="s">
        <v>73</v>
      </c>
      <c r="B71" s="2" t="s">
        <v>193</v>
      </c>
      <c r="C71" s="2" t="s">
        <v>194</v>
      </c>
      <c r="D71" s="2" t="s">
        <v>341</v>
      </c>
      <c r="E71" s="2" t="s">
        <v>445</v>
      </c>
      <c r="F71" s="2" t="s">
        <v>392</v>
      </c>
      <c r="G71" s="2" t="s">
        <v>41</v>
      </c>
      <c r="H71" s="20">
        <v>1</v>
      </c>
      <c r="I71" s="22">
        <v>691</v>
      </c>
      <c r="J71" s="24">
        <v>45669</v>
      </c>
      <c r="K71" s="2" t="s">
        <v>30</v>
      </c>
      <c r="L71" s="2">
        <v>15</v>
      </c>
      <c r="M71" s="23">
        <f t="shared" si="2"/>
        <v>691</v>
      </c>
      <c r="N71" s="23">
        <f t="shared" si="3"/>
        <v>676</v>
      </c>
    </row>
    <row r="72" spans="1:14" ht="14.25" customHeight="1">
      <c r="A72" s="2" t="s">
        <v>112</v>
      </c>
      <c r="B72" s="2" t="s">
        <v>195</v>
      </c>
      <c r="C72" s="2" t="s">
        <v>196</v>
      </c>
      <c r="D72" s="2" t="s">
        <v>342</v>
      </c>
      <c r="E72" s="2" t="s">
        <v>446</v>
      </c>
      <c r="F72" s="2" t="s">
        <v>381</v>
      </c>
      <c r="G72" s="2" t="s">
        <v>29</v>
      </c>
      <c r="H72" s="20">
        <v>1</v>
      </c>
      <c r="I72" s="22">
        <v>370</v>
      </c>
      <c r="J72" s="24">
        <v>45669</v>
      </c>
      <c r="K72" s="2" t="s">
        <v>55</v>
      </c>
      <c r="L72" s="2">
        <v>1</v>
      </c>
      <c r="M72" s="23">
        <f t="shared" si="2"/>
        <v>370</v>
      </c>
      <c r="N72" s="23">
        <f t="shared" si="3"/>
        <v>369</v>
      </c>
    </row>
    <row r="73" spans="1:14" ht="14.25" customHeight="1">
      <c r="A73" s="2" t="s">
        <v>56</v>
      </c>
      <c r="B73" s="2" t="s">
        <v>188</v>
      </c>
      <c r="C73" s="2" t="s">
        <v>494</v>
      </c>
      <c r="D73" s="2" t="s">
        <v>343</v>
      </c>
      <c r="E73" s="2" t="s">
        <v>447</v>
      </c>
      <c r="F73" s="2" t="s">
        <v>379</v>
      </c>
      <c r="G73" s="2" t="s">
        <v>500</v>
      </c>
      <c r="H73" s="20">
        <v>1</v>
      </c>
      <c r="I73" s="22">
        <v>612</v>
      </c>
      <c r="J73" s="24">
        <v>45669</v>
      </c>
      <c r="K73" s="2" t="s">
        <v>30</v>
      </c>
      <c r="L73" s="2">
        <v>25</v>
      </c>
      <c r="M73" s="23">
        <f t="shared" si="2"/>
        <v>612</v>
      </c>
      <c r="N73" s="23">
        <f t="shared" si="3"/>
        <v>587</v>
      </c>
    </row>
    <row r="74" spans="1:14" ht="14.25" customHeight="1">
      <c r="A74" s="2" t="s">
        <v>106</v>
      </c>
      <c r="B74" s="2" t="s">
        <v>145</v>
      </c>
      <c r="C74" s="2" t="s">
        <v>197</v>
      </c>
      <c r="D74" s="2" t="s">
        <v>198</v>
      </c>
      <c r="E74" s="2" t="s">
        <v>448</v>
      </c>
      <c r="F74" s="2" t="s">
        <v>396</v>
      </c>
      <c r="G74" s="2" t="s">
        <v>36</v>
      </c>
      <c r="H74" s="20">
        <v>1</v>
      </c>
      <c r="I74" s="22">
        <v>789</v>
      </c>
      <c r="J74" s="24">
        <v>45669</v>
      </c>
      <c r="K74" s="2" t="s">
        <v>93</v>
      </c>
      <c r="L74" s="2">
        <v>68</v>
      </c>
      <c r="M74" s="23">
        <f t="shared" si="2"/>
        <v>789</v>
      </c>
      <c r="N74" s="23">
        <f t="shared" si="3"/>
        <v>721</v>
      </c>
    </row>
    <row r="75" spans="1:14" ht="14.25" customHeight="1">
      <c r="A75" s="2" t="s">
        <v>86</v>
      </c>
      <c r="B75" s="2" t="s">
        <v>199</v>
      </c>
      <c r="C75" s="2" t="s">
        <v>200</v>
      </c>
      <c r="D75" s="2" t="s">
        <v>344</v>
      </c>
      <c r="E75" s="2" t="s">
        <v>513</v>
      </c>
      <c r="F75" s="2" t="s">
        <v>420</v>
      </c>
      <c r="G75" s="2" t="s">
        <v>92</v>
      </c>
      <c r="H75" s="2">
        <v>10</v>
      </c>
      <c r="I75" s="22">
        <v>807</v>
      </c>
      <c r="J75" s="24">
        <v>45669</v>
      </c>
      <c r="K75" s="2" t="s">
        <v>93</v>
      </c>
      <c r="L75" s="2">
        <v>110</v>
      </c>
      <c r="M75" s="23">
        <f t="shared" si="2"/>
        <v>8070</v>
      </c>
      <c r="N75" s="23">
        <f t="shared" si="3"/>
        <v>7960</v>
      </c>
    </row>
    <row r="76" spans="1:14" ht="14.25" customHeight="1">
      <c r="A76" s="2" t="s">
        <v>137</v>
      </c>
      <c r="B76" s="2" t="s">
        <v>45</v>
      </c>
      <c r="C76" s="2" t="s">
        <v>201</v>
      </c>
      <c r="D76" s="2" t="s">
        <v>345</v>
      </c>
      <c r="E76" s="2" t="s">
        <v>449</v>
      </c>
      <c r="F76" s="2" t="s">
        <v>381</v>
      </c>
      <c r="G76" s="2" t="s">
        <v>36</v>
      </c>
      <c r="H76" s="2">
        <v>10</v>
      </c>
      <c r="I76" s="22">
        <v>385</v>
      </c>
      <c r="J76" s="24">
        <v>45669</v>
      </c>
      <c r="K76" s="2" t="s">
        <v>55</v>
      </c>
      <c r="L76" s="2">
        <v>63</v>
      </c>
      <c r="M76" s="23">
        <f t="shared" si="2"/>
        <v>3850</v>
      </c>
      <c r="N76" s="23">
        <f t="shared" si="3"/>
        <v>3787</v>
      </c>
    </row>
    <row r="77" spans="1:14" ht="14.25" customHeight="1">
      <c r="A77" s="2" t="s">
        <v>86</v>
      </c>
      <c r="B77" s="2" t="s">
        <v>202</v>
      </c>
      <c r="C77" s="2" t="s">
        <v>203</v>
      </c>
      <c r="D77" s="2" t="s">
        <v>346</v>
      </c>
      <c r="E77" s="2" t="s">
        <v>514</v>
      </c>
      <c r="F77" s="2" t="s">
        <v>420</v>
      </c>
      <c r="G77" s="2" t="s">
        <v>499</v>
      </c>
      <c r="H77" s="2">
        <v>10</v>
      </c>
      <c r="I77" s="22">
        <v>947</v>
      </c>
      <c r="J77" s="24">
        <v>45669</v>
      </c>
      <c r="K77" s="2" t="s">
        <v>93</v>
      </c>
      <c r="L77" s="2">
        <v>59</v>
      </c>
      <c r="M77" s="23">
        <f t="shared" si="2"/>
        <v>9470</v>
      </c>
      <c r="N77" s="23">
        <f t="shared" si="3"/>
        <v>9411</v>
      </c>
    </row>
    <row r="78" spans="1:14" ht="14.25" customHeight="1">
      <c r="A78" s="2" t="s">
        <v>94</v>
      </c>
      <c r="B78" s="2" t="s">
        <v>204</v>
      </c>
      <c r="C78" s="2" t="s">
        <v>495</v>
      </c>
      <c r="D78" s="2" t="s">
        <v>347</v>
      </c>
      <c r="E78" s="2" t="s">
        <v>450</v>
      </c>
      <c r="F78" s="2" t="s">
        <v>383</v>
      </c>
      <c r="G78" s="2" t="s">
        <v>499</v>
      </c>
      <c r="H78" s="20">
        <v>1</v>
      </c>
      <c r="I78" s="22">
        <v>428</v>
      </c>
      <c r="J78" s="24">
        <v>45992</v>
      </c>
      <c r="K78" s="2" t="s">
        <v>37</v>
      </c>
      <c r="L78" s="2">
        <v>49</v>
      </c>
      <c r="M78" s="23">
        <f t="shared" si="2"/>
        <v>428</v>
      </c>
      <c r="N78" s="23">
        <f t="shared" si="3"/>
        <v>379</v>
      </c>
    </row>
    <row r="79" spans="1:14" ht="14.25" customHeight="1">
      <c r="A79" s="2" t="s">
        <v>18</v>
      </c>
      <c r="B79" s="2" t="s">
        <v>115</v>
      </c>
      <c r="C79" s="2" t="s">
        <v>205</v>
      </c>
      <c r="D79" s="2" t="s">
        <v>348</v>
      </c>
      <c r="E79" s="2" t="s">
        <v>451</v>
      </c>
      <c r="F79" s="2" t="s">
        <v>396</v>
      </c>
      <c r="G79" s="2" t="s">
        <v>29</v>
      </c>
      <c r="H79" s="20">
        <v>1</v>
      </c>
      <c r="I79" s="22">
        <v>297</v>
      </c>
      <c r="J79" s="24">
        <v>45669</v>
      </c>
      <c r="K79" s="2" t="s">
        <v>30</v>
      </c>
      <c r="L79" s="2">
        <v>20</v>
      </c>
      <c r="M79" s="23">
        <f t="shared" si="2"/>
        <v>297</v>
      </c>
      <c r="N79" s="23">
        <f t="shared" si="3"/>
        <v>277</v>
      </c>
    </row>
    <row r="80" spans="1:14" ht="14.25" customHeight="1">
      <c r="A80" s="2" t="s">
        <v>100</v>
      </c>
      <c r="B80" s="2" t="s">
        <v>28</v>
      </c>
      <c r="C80" s="2" t="s">
        <v>206</v>
      </c>
      <c r="D80" s="2" t="s">
        <v>207</v>
      </c>
      <c r="E80" s="2" t="s">
        <v>452</v>
      </c>
      <c r="F80" s="2" t="s">
        <v>383</v>
      </c>
      <c r="G80" s="2" t="s">
        <v>77</v>
      </c>
      <c r="H80" s="2">
        <v>10</v>
      </c>
      <c r="I80" s="22">
        <v>871</v>
      </c>
      <c r="J80" s="24">
        <v>45669</v>
      </c>
      <c r="K80" s="2" t="s">
        <v>55</v>
      </c>
      <c r="L80" s="2">
        <v>8</v>
      </c>
      <c r="M80" s="23">
        <f t="shared" si="2"/>
        <v>8710</v>
      </c>
      <c r="N80" s="23">
        <f t="shared" si="3"/>
        <v>8702</v>
      </c>
    </row>
    <row r="81" spans="1:14" ht="14.25" customHeight="1">
      <c r="A81" s="2" t="s">
        <v>27</v>
      </c>
      <c r="B81" s="2" t="s">
        <v>95</v>
      </c>
      <c r="C81" s="2" t="s">
        <v>208</v>
      </c>
      <c r="D81" s="2" t="s">
        <v>349</v>
      </c>
      <c r="E81" s="2" t="s">
        <v>515</v>
      </c>
      <c r="F81" s="2" t="s">
        <v>453</v>
      </c>
      <c r="G81" s="2" t="s">
        <v>41</v>
      </c>
      <c r="H81" s="20">
        <v>1</v>
      </c>
      <c r="I81" s="22">
        <v>875</v>
      </c>
      <c r="J81" s="24">
        <v>45669</v>
      </c>
      <c r="K81" s="2" t="s">
        <v>37</v>
      </c>
      <c r="L81" s="2">
        <v>16</v>
      </c>
      <c r="M81" s="23">
        <f t="shared" si="2"/>
        <v>875</v>
      </c>
      <c r="N81" s="23">
        <f t="shared" si="3"/>
        <v>859</v>
      </c>
    </row>
    <row r="82" spans="1:14" ht="14.25" customHeight="1">
      <c r="A82" s="2" t="s">
        <v>209</v>
      </c>
      <c r="B82" s="2" t="s">
        <v>165</v>
      </c>
      <c r="C82" s="2" t="s">
        <v>210</v>
      </c>
      <c r="D82" s="2" t="s">
        <v>211</v>
      </c>
      <c r="E82" s="2" t="s">
        <v>454</v>
      </c>
      <c r="F82" s="2" t="s">
        <v>381</v>
      </c>
      <c r="G82" s="2" t="s">
        <v>41</v>
      </c>
      <c r="H82" s="20">
        <v>1</v>
      </c>
      <c r="I82" s="22">
        <v>928</v>
      </c>
      <c r="J82" s="24">
        <v>45669</v>
      </c>
      <c r="K82" s="2" t="s">
        <v>93</v>
      </c>
      <c r="L82" s="2">
        <v>96</v>
      </c>
      <c r="M82" s="23">
        <f t="shared" si="2"/>
        <v>928</v>
      </c>
      <c r="N82" s="23">
        <f t="shared" si="3"/>
        <v>832</v>
      </c>
    </row>
    <row r="83" spans="1:14" ht="14.25" customHeight="1">
      <c r="A83" s="2" t="s">
        <v>106</v>
      </c>
      <c r="B83" s="2" t="s">
        <v>173</v>
      </c>
      <c r="C83" s="2" t="s">
        <v>212</v>
      </c>
      <c r="D83" s="2" t="s">
        <v>213</v>
      </c>
      <c r="E83" s="2" t="s">
        <v>516</v>
      </c>
      <c r="F83" s="2" t="s">
        <v>453</v>
      </c>
      <c r="G83" s="2" t="s">
        <v>70</v>
      </c>
      <c r="H83" s="20">
        <v>1</v>
      </c>
      <c r="I83" s="22">
        <v>491</v>
      </c>
      <c r="J83" s="24">
        <v>45669</v>
      </c>
      <c r="K83" s="2" t="s">
        <v>49</v>
      </c>
      <c r="L83" s="2">
        <v>10</v>
      </c>
      <c r="M83" s="23">
        <f t="shared" si="2"/>
        <v>491</v>
      </c>
      <c r="N83" s="23">
        <f t="shared" si="3"/>
        <v>481</v>
      </c>
    </row>
    <row r="84" spans="1:14" ht="14.25" customHeight="1">
      <c r="A84" s="2" t="s">
        <v>209</v>
      </c>
      <c r="B84" s="2" t="s">
        <v>123</v>
      </c>
      <c r="C84" s="2" t="s">
        <v>214</v>
      </c>
      <c r="D84" s="2" t="s">
        <v>215</v>
      </c>
      <c r="E84" s="2" t="s">
        <v>455</v>
      </c>
      <c r="F84" s="2" t="s">
        <v>396</v>
      </c>
      <c r="G84" s="2" t="s">
        <v>77</v>
      </c>
      <c r="H84" s="2">
        <v>10</v>
      </c>
      <c r="I84" s="22">
        <v>382</v>
      </c>
      <c r="J84" s="24">
        <v>45992</v>
      </c>
      <c r="K84" s="2" t="s">
        <v>30</v>
      </c>
      <c r="L84" s="2">
        <v>97</v>
      </c>
      <c r="M84" s="23">
        <f t="shared" si="2"/>
        <v>3820</v>
      </c>
      <c r="N84" s="23">
        <f t="shared" si="3"/>
        <v>3723</v>
      </c>
    </row>
    <row r="85" spans="1:14" ht="14.25" customHeight="1">
      <c r="A85" s="2" t="s">
        <v>50</v>
      </c>
      <c r="B85" s="2" t="s">
        <v>216</v>
      </c>
      <c r="C85" s="2" t="s">
        <v>217</v>
      </c>
      <c r="D85" s="2" t="s">
        <v>350</v>
      </c>
      <c r="E85" s="2" t="s">
        <v>517</v>
      </c>
      <c r="F85" s="2" t="s">
        <v>456</v>
      </c>
      <c r="G85" s="2" t="s">
        <v>36</v>
      </c>
      <c r="H85" s="20">
        <v>1</v>
      </c>
      <c r="I85" s="22">
        <v>691</v>
      </c>
      <c r="J85" s="24">
        <v>45669</v>
      </c>
      <c r="K85" s="2" t="s">
        <v>55</v>
      </c>
      <c r="L85" s="2">
        <v>26</v>
      </c>
      <c r="M85" s="23">
        <f t="shared" si="2"/>
        <v>691</v>
      </c>
      <c r="N85" s="23">
        <f t="shared" si="3"/>
        <v>665</v>
      </c>
    </row>
    <row r="86" spans="1:14" ht="14.25" customHeight="1">
      <c r="A86" s="2" t="s">
        <v>112</v>
      </c>
      <c r="B86" s="2" t="s">
        <v>173</v>
      </c>
      <c r="C86" s="2" t="s">
        <v>218</v>
      </c>
      <c r="D86" s="2" t="s">
        <v>351</v>
      </c>
      <c r="E86" s="2" t="s">
        <v>518</v>
      </c>
      <c r="F86" s="2" t="s">
        <v>453</v>
      </c>
      <c r="G86" s="2" t="s">
        <v>70</v>
      </c>
      <c r="H86" s="20">
        <v>1</v>
      </c>
      <c r="I86" s="22">
        <v>969</v>
      </c>
      <c r="J86" s="24">
        <v>45992</v>
      </c>
      <c r="K86" s="2" t="s">
        <v>30</v>
      </c>
      <c r="L86" s="2">
        <v>25</v>
      </c>
      <c r="M86" s="23">
        <f t="shared" si="2"/>
        <v>969</v>
      </c>
      <c r="N86" s="23">
        <f t="shared" si="3"/>
        <v>944</v>
      </c>
    </row>
    <row r="87" spans="1:14" ht="14.25" customHeight="1">
      <c r="A87" s="2" t="s">
        <v>56</v>
      </c>
      <c r="B87" s="2" t="s">
        <v>219</v>
      </c>
      <c r="C87" s="2" t="s">
        <v>220</v>
      </c>
      <c r="D87" s="2" t="s">
        <v>221</v>
      </c>
      <c r="E87" s="2" t="s">
        <v>388</v>
      </c>
      <c r="F87" s="2" t="s">
        <v>392</v>
      </c>
      <c r="G87" s="2" t="s">
        <v>41</v>
      </c>
      <c r="H87" s="2">
        <v>10</v>
      </c>
      <c r="I87" s="22">
        <v>47</v>
      </c>
      <c r="J87" s="24">
        <v>45669</v>
      </c>
      <c r="K87" s="2" t="s">
        <v>37</v>
      </c>
      <c r="L87" s="2">
        <v>45</v>
      </c>
      <c r="M87" s="23">
        <f t="shared" si="2"/>
        <v>470</v>
      </c>
      <c r="N87" s="23">
        <f t="shared" si="3"/>
        <v>425</v>
      </c>
    </row>
    <row r="88" spans="1:14" ht="14.25" customHeight="1">
      <c r="A88" s="2" t="s">
        <v>112</v>
      </c>
      <c r="B88" s="2" t="s">
        <v>25</v>
      </c>
      <c r="C88" s="2" t="s">
        <v>222</v>
      </c>
      <c r="D88" s="2" t="s">
        <v>352</v>
      </c>
      <c r="E88" s="2" t="s">
        <v>457</v>
      </c>
      <c r="F88" s="2" t="s">
        <v>379</v>
      </c>
      <c r="G88" s="2" t="s">
        <v>36</v>
      </c>
      <c r="H88" s="20">
        <v>1</v>
      </c>
      <c r="I88" s="22">
        <v>200</v>
      </c>
      <c r="J88" s="24">
        <v>45992</v>
      </c>
      <c r="K88" s="2" t="s">
        <v>30</v>
      </c>
      <c r="L88" s="2">
        <v>10</v>
      </c>
      <c r="M88" s="23">
        <f t="shared" si="2"/>
        <v>200</v>
      </c>
      <c r="N88" s="23">
        <f t="shared" si="3"/>
        <v>190</v>
      </c>
    </row>
    <row r="89" spans="1:14" ht="14.25" customHeight="1">
      <c r="A89" s="2" t="s">
        <v>94</v>
      </c>
      <c r="B89" s="2" t="s">
        <v>223</v>
      </c>
      <c r="C89" s="2" t="s">
        <v>224</v>
      </c>
      <c r="D89" s="2" t="s">
        <v>353</v>
      </c>
      <c r="E89" s="2" t="s">
        <v>458</v>
      </c>
      <c r="F89" s="2" t="s">
        <v>396</v>
      </c>
      <c r="G89" s="2" t="s">
        <v>48</v>
      </c>
      <c r="H89" s="20">
        <v>1</v>
      </c>
      <c r="I89" s="22">
        <v>571</v>
      </c>
      <c r="J89" s="24">
        <v>45669</v>
      </c>
      <c r="K89" s="2" t="s">
        <v>30</v>
      </c>
      <c r="L89" s="2">
        <v>115</v>
      </c>
      <c r="M89" s="23">
        <f t="shared" si="2"/>
        <v>571</v>
      </c>
      <c r="N89" s="23">
        <f t="shared" si="3"/>
        <v>456</v>
      </c>
    </row>
    <row r="90" spans="1:14" ht="14.25" customHeight="1">
      <c r="A90" s="2" t="s">
        <v>64</v>
      </c>
      <c r="B90" s="2" t="s">
        <v>15</v>
      </c>
      <c r="C90" s="2" t="s">
        <v>225</v>
      </c>
      <c r="D90" s="2" t="s">
        <v>226</v>
      </c>
      <c r="E90" s="2" t="s">
        <v>459</v>
      </c>
      <c r="F90" s="2" t="s">
        <v>389</v>
      </c>
      <c r="G90" s="2" t="s">
        <v>41</v>
      </c>
      <c r="H90" s="2">
        <v>8</v>
      </c>
      <c r="I90" s="22">
        <v>644</v>
      </c>
      <c r="J90" s="24">
        <v>45669</v>
      </c>
      <c r="K90" s="2" t="s">
        <v>37</v>
      </c>
      <c r="L90" s="2">
        <v>16</v>
      </c>
      <c r="M90" s="23">
        <f t="shared" si="2"/>
        <v>5152</v>
      </c>
      <c r="N90" s="23">
        <f t="shared" si="3"/>
        <v>5136</v>
      </c>
    </row>
    <row r="91" spans="1:14" ht="14.25" customHeight="1">
      <c r="A91" s="2" t="s">
        <v>112</v>
      </c>
      <c r="B91" s="2" t="s">
        <v>110</v>
      </c>
      <c r="C91" s="2" t="s">
        <v>227</v>
      </c>
      <c r="D91" s="2" t="s">
        <v>228</v>
      </c>
      <c r="E91" s="2" t="s">
        <v>460</v>
      </c>
      <c r="F91" s="2" t="s">
        <v>392</v>
      </c>
      <c r="G91" s="2" t="s">
        <v>70</v>
      </c>
      <c r="H91" s="20">
        <v>1</v>
      </c>
      <c r="I91" s="22">
        <v>349</v>
      </c>
      <c r="J91" s="24">
        <v>45992</v>
      </c>
      <c r="K91" s="2" t="s">
        <v>37</v>
      </c>
      <c r="L91" s="2">
        <v>10</v>
      </c>
      <c r="M91" s="23">
        <f t="shared" si="2"/>
        <v>349</v>
      </c>
      <c r="N91" s="23">
        <f t="shared" si="3"/>
        <v>339</v>
      </c>
    </row>
    <row r="92" spans="1:14" ht="14.25" customHeight="1">
      <c r="A92" s="2" t="s">
        <v>78</v>
      </c>
      <c r="B92" s="2" t="s">
        <v>219</v>
      </c>
      <c r="C92" s="2" t="s">
        <v>496</v>
      </c>
      <c r="D92" s="2" t="s">
        <v>229</v>
      </c>
      <c r="E92" s="2" t="s">
        <v>461</v>
      </c>
      <c r="F92" s="2" t="s">
        <v>389</v>
      </c>
      <c r="G92" s="2" t="s">
        <v>41</v>
      </c>
      <c r="H92" s="2">
        <v>1</v>
      </c>
      <c r="I92" s="22">
        <v>44</v>
      </c>
      <c r="J92" s="24">
        <v>45992</v>
      </c>
      <c r="K92" s="2" t="s">
        <v>37</v>
      </c>
      <c r="L92" s="2">
        <v>5</v>
      </c>
      <c r="M92" s="23">
        <f t="shared" si="2"/>
        <v>44</v>
      </c>
      <c r="N92" s="23">
        <f t="shared" si="3"/>
        <v>39</v>
      </c>
    </row>
    <row r="93" spans="1:14" ht="14.25" customHeight="1">
      <c r="A93" s="2" t="s">
        <v>50</v>
      </c>
      <c r="B93" s="2" t="s">
        <v>230</v>
      </c>
      <c r="C93" s="2" t="s">
        <v>231</v>
      </c>
      <c r="D93" s="2" t="s">
        <v>354</v>
      </c>
      <c r="E93" s="2" t="s">
        <v>401</v>
      </c>
      <c r="F93" s="2" t="s">
        <v>383</v>
      </c>
      <c r="G93" s="2" t="s">
        <v>23</v>
      </c>
      <c r="H93" s="2">
        <v>6</v>
      </c>
      <c r="I93" s="22">
        <v>200</v>
      </c>
      <c r="J93" s="24">
        <v>45992</v>
      </c>
      <c r="K93" s="2" t="s">
        <v>55</v>
      </c>
      <c r="L93" s="2">
        <v>24</v>
      </c>
      <c r="M93" s="23">
        <f t="shared" si="2"/>
        <v>1200</v>
      </c>
      <c r="N93" s="23">
        <f t="shared" si="3"/>
        <v>1176</v>
      </c>
    </row>
    <row r="94" spans="1:14" ht="14.25" customHeight="1">
      <c r="A94" s="2" t="s">
        <v>14</v>
      </c>
      <c r="B94" s="2" t="s">
        <v>131</v>
      </c>
      <c r="C94" s="2" t="s">
        <v>232</v>
      </c>
      <c r="D94" s="2" t="s">
        <v>355</v>
      </c>
      <c r="E94" s="2" t="s">
        <v>519</v>
      </c>
      <c r="F94" s="2" t="s">
        <v>456</v>
      </c>
      <c r="G94" s="2" t="s">
        <v>500</v>
      </c>
      <c r="H94" s="20">
        <v>1</v>
      </c>
      <c r="I94" s="22">
        <v>424</v>
      </c>
      <c r="J94" s="24">
        <v>45669</v>
      </c>
      <c r="K94" s="2" t="s">
        <v>37</v>
      </c>
      <c r="L94" s="2">
        <v>14</v>
      </c>
      <c r="M94" s="23">
        <f t="shared" si="2"/>
        <v>424</v>
      </c>
      <c r="N94" s="23">
        <f t="shared" si="3"/>
        <v>410</v>
      </c>
    </row>
    <row r="95" spans="1:14" ht="14.25" customHeight="1">
      <c r="A95" s="2" t="s">
        <v>31</v>
      </c>
      <c r="B95" s="2" t="s">
        <v>233</v>
      </c>
      <c r="C95" s="2" t="s">
        <v>234</v>
      </c>
      <c r="D95" s="2" t="s">
        <v>356</v>
      </c>
      <c r="E95" s="2" t="s">
        <v>462</v>
      </c>
      <c r="F95" s="2" t="s">
        <v>392</v>
      </c>
      <c r="G95" s="2" t="s">
        <v>92</v>
      </c>
      <c r="H95" s="2">
        <v>7</v>
      </c>
      <c r="I95" s="22">
        <v>25</v>
      </c>
      <c r="J95" s="24">
        <v>45992</v>
      </c>
      <c r="K95" s="2" t="s">
        <v>93</v>
      </c>
      <c r="L95" s="2">
        <v>21</v>
      </c>
      <c r="M95" s="23">
        <f t="shared" si="2"/>
        <v>175</v>
      </c>
      <c r="N95" s="23">
        <f t="shared" si="3"/>
        <v>154</v>
      </c>
    </row>
    <row r="96" spans="1:14" ht="14.25" customHeight="1">
      <c r="A96" s="2" t="s">
        <v>137</v>
      </c>
      <c r="B96" s="2" t="s">
        <v>107</v>
      </c>
      <c r="C96" s="2" t="s">
        <v>235</v>
      </c>
      <c r="D96" s="2" t="s">
        <v>357</v>
      </c>
      <c r="E96" s="2" t="s">
        <v>463</v>
      </c>
      <c r="F96" s="2" t="s">
        <v>381</v>
      </c>
      <c r="G96" s="2" t="s">
        <v>41</v>
      </c>
      <c r="H96" s="2">
        <v>8</v>
      </c>
      <c r="I96" s="22">
        <v>411</v>
      </c>
      <c r="J96" s="24">
        <v>45669</v>
      </c>
      <c r="K96" s="2" t="s">
        <v>55</v>
      </c>
      <c r="L96" s="2">
        <v>25</v>
      </c>
      <c r="M96" s="23">
        <f t="shared" si="2"/>
        <v>3288</v>
      </c>
      <c r="N96" s="23">
        <f t="shared" si="3"/>
        <v>3263</v>
      </c>
    </row>
    <row r="97" spans="1:14" ht="14.25" customHeight="1">
      <c r="A97" s="2" t="s">
        <v>73</v>
      </c>
      <c r="B97" s="2" t="s">
        <v>59</v>
      </c>
      <c r="C97" s="2" t="s">
        <v>236</v>
      </c>
      <c r="D97" s="2" t="s">
        <v>358</v>
      </c>
      <c r="E97" s="2" t="s">
        <v>464</v>
      </c>
      <c r="F97" s="2" t="s">
        <v>381</v>
      </c>
      <c r="G97" s="2" t="s">
        <v>41</v>
      </c>
      <c r="H97" s="20">
        <v>1</v>
      </c>
      <c r="I97" s="22">
        <v>936</v>
      </c>
      <c r="J97" s="24">
        <v>45669</v>
      </c>
      <c r="K97" s="2" t="s">
        <v>37</v>
      </c>
      <c r="L97" s="2">
        <v>41</v>
      </c>
      <c r="M97" s="23">
        <f t="shared" si="2"/>
        <v>936</v>
      </c>
      <c r="N97" s="23">
        <f t="shared" si="3"/>
        <v>895</v>
      </c>
    </row>
    <row r="98" spans="1:14" ht="14.25" customHeight="1">
      <c r="A98" s="2" t="s">
        <v>56</v>
      </c>
      <c r="B98" s="2" t="s">
        <v>237</v>
      </c>
      <c r="C98" s="2" t="s">
        <v>238</v>
      </c>
      <c r="D98" s="2" t="s">
        <v>359</v>
      </c>
      <c r="E98" s="2" t="s">
        <v>465</v>
      </c>
      <c r="F98" s="2" t="s">
        <v>383</v>
      </c>
      <c r="G98" s="2" t="s">
        <v>500</v>
      </c>
      <c r="H98" s="2">
        <v>7</v>
      </c>
      <c r="I98" s="22">
        <v>40</v>
      </c>
      <c r="J98" s="24">
        <v>45669</v>
      </c>
      <c r="K98" s="2" t="s">
        <v>49</v>
      </c>
      <c r="L98" s="2">
        <v>29</v>
      </c>
      <c r="M98" s="23">
        <f t="shared" si="2"/>
        <v>280</v>
      </c>
      <c r="N98" s="23">
        <f t="shared" si="3"/>
        <v>251</v>
      </c>
    </row>
    <row r="99" spans="1:14" ht="14.25" customHeight="1">
      <c r="A99" s="2" t="s">
        <v>64</v>
      </c>
      <c r="B99" s="2" t="s">
        <v>147</v>
      </c>
      <c r="C99" s="2" t="s">
        <v>239</v>
      </c>
      <c r="D99" s="2" t="s">
        <v>240</v>
      </c>
      <c r="E99" s="2" t="s">
        <v>466</v>
      </c>
      <c r="F99" s="2" t="s">
        <v>392</v>
      </c>
      <c r="G99" s="2" t="s">
        <v>70</v>
      </c>
      <c r="H99" s="20">
        <v>1</v>
      </c>
      <c r="I99" s="22">
        <v>43</v>
      </c>
      <c r="J99" s="24">
        <v>45669</v>
      </c>
      <c r="K99" s="2" t="s">
        <v>93</v>
      </c>
      <c r="L99" s="2">
        <v>14</v>
      </c>
      <c r="M99" s="23">
        <f t="shared" si="2"/>
        <v>43</v>
      </c>
      <c r="N99" s="23">
        <f t="shared" si="3"/>
        <v>29</v>
      </c>
    </row>
    <row r="100" spans="1:14" ht="14.25" customHeight="1">
      <c r="A100" s="2" t="s">
        <v>106</v>
      </c>
      <c r="B100" s="2" t="s">
        <v>150</v>
      </c>
      <c r="C100" s="2" t="s">
        <v>241</v>
      </c>
      <c r="D100" s="2" t="s">
        <v>360</v>
      </c>
      <c r="E100" s="2" t="s">
        <v>467</v>
      </c>
      <c r="F100" s="2" t="s">
        <v>396</v>
      </c>
      <c r="G100" s="2" t="s">
        <v>29</v>
      </c>
      <c r="H100" s="2">
        <v>8</v>
      </c>
      <c r="I100" s="22">
        <v>839</v>
      </c>
      <c r="J100" s="24">
        <v>45992</v>
      </c>
      <c r="K100" s="2" t="s">
        <v>37</v>
      </c>
      <c r="L100" s="2">
        <v>66</v>
      </c>
      <c r="M100" s="23">
        <f t="shared" si="2"/>
        <v>6712</v>
      </c>
      <c r="N100" s="23">
        <f t="shared" si="3"/>
        <v>6646</v>
      </c>
    </row>
    <row r="101" spans="1:14" ht="14.25" customHeight="1">
      <c r="A101" s="2" t="s">
        <v>73</v>
      </c>
      <c r="B101" s="2" t="s">
        <v>123</v>
      </c>
      <c r="C101" s="2" t="s">
        <v>242</v>
      </c>
      <c r="D101" s="2" t="s">
        <v>243</v>
      </c>
      <c r="E101" s="2" t="s">
        <v>468</v>
      </c>
      <c r="F101" s="2" t="s">
        <v>381</v>
      </c>
      <c r="G101" s="2" t="s">
        <v>70</v>
      </c>
      <c r="H101" s="2">
        <v>10</v>
      </c>
      <c r="I101" s="22">
        <v>706</v>
      </c>
      <c r="J101" s="24">
        <v>45669</v>
      </c>
      <c r="K101" s="2" t="s">
        <v>37</v>
      </c>
      <c r="L101" s="2">
        <v>6</v>
      </c>
      <c r="M101" s="23">
        <f t="shared" si="2"/>
        <v>7060</v>
      </c>
      <c r="N101" s="23">
        <f t="shared" si="3"/>
        <v>7054</v>
      </c>
    </row>
    <row r="102" spans="1:14" ht="14.25" customHeight="1">
      <c r="A102" s="2" t="s">
        <v>24</v>
      </c>
      <c r="B102" s="2" t="s">
        <v>244</v>
      </c>
      <c r="C102" s="2" t="s">
        <v>245</v>
      </c>
      <c r="D102" s="2" t="s">
        <v>361</v>
      </c>
      <c r="E102" s="2" t="s">
        <v>469</v>
      </c>
      <c r="F102" s="2" t="s">
        <v>379</v>
      </c>
      <c r="G102" s="2" t="s">
        <v>23</v>
      </c>
      <c r="H102" s="2">
        <v>10</v>
      </c>
      <c r="I102" s="22">
        <v>29</v>
      </c>
      <c r="J102" s="24">
        <v>45669</v>
      </c>
      <c r="K102" s="2" t="s">
        <v>93</v>
      </c>
      <c r="L102" s="2">
        <v>11</v>
      </c>
      <c r="M102" s="23">
        <f t="shared" si="2"/>
        <v>290</v>
      </c>
      <c r="N102" s="23">
        <f t="shared" si="3"/>
        <v>279</v>
      </c>
    </row>
    <row r="103" spans="1:14" ht="14.25" customHeight="1">
      <c r="A103" s="2" t="s">
        <v>31</v>
      </c>
      <c r="B103" s="2" t="s">
        <v>87</v>
      </c>
      <c r="C103" s="2" t="s">
        <v>246</v>
      </c>
      <c r="D103" s="2" t="s">
        <v>362</v>
      </c>
      <c r="E103" s="2" t="s">
        <v>470</v>
      </c>
      <c r="F103" s="2" t="s">
        <v>381</v>
      </c>
      <c r="G103" s="2" t="s">
        <v>500</v>
      </c>
      <c r="H103" s="20">
        <v>1</v>
      </c>
      <c r="I103" s="22">
        <v>291</v>
      </c>
      <c r="J103" s="24">
        <v>45992</v>
      </c>
      <c r="K103" s="2" t="s">
        <v>93</v>
      </c>
      <c r="L103" s="2">
        <v>27</v>
      </c>
      <c r="M103" s="23">
        <f t="shared" si="2"/>
        <v>291</v>
      </c>
      <c r="N103" s="23">
        <f t="shared" si="3"/>
        <v>264</v>
      </c>
    </row>
    <row r="104" spans="1:14" ht="14.25" customHeight="1">
      <c r="A104" s="2" t="s">
        <v>86</v>
      </c>
      <c r="B104" s="2" t="s">
        <v>247</v>
      </c>
      <c r="C104" s="2" t="s">
        <v>248</v>
      </c>
      <c r="D104" s="2" t="s">
        <v>363</v>
      </c>
      <c r="E104" s="2" t="s">
        <v>471</v>
      </c>
      <c r="F104" s="2" t="s">
        <v>392</v>
      </c>
      <c r="G104" s="2" t="s">
        <v>36</v>
      </c>
      <c r="H104" s="20">
        <v>1</v>
      </c>
      <c r="I104" s="22">
        <v>17</v>
      </c>
      <c r="J104" s="24">
        <v>45669</v>
      </c>
      <c r="K104" s="2" t="s">
        <v>37</v>
      </c>
      <c r="L104" s="2">
        <v>24</v>
      </c>
      <c r="M104" s="23">
        <f t="shared" si="2"/>
        <v>17</v>
      </c>
      <c r="N104" s="23">
        <f t="shared" si="3"/>
        <v>-7</v>
      </c>
    </row>
    <row r="105" spans="1:14" ht="14.25" customHeight="1">
      <c r="A105" s="2" t="s">
        <v>64</v>
      </c>
      <c r="B105" s="2" t="s">
        <v>249</v>
      </c>
      <c r="C105" s="2" t="s">
        <v>250</v>
      </c>
      <c r="D105" s="2" t="s">
        <v>364</v>
      </c>
      <c r="E105" s="2" t="s">
        <v>472</v>
      </c>
      <c r="F105" s="2" t="s">
        <v>389</v>
      </c>
      <c r="G105" s="2" t="s">
        <v>77</v>
      </c>
      <c r="H105" s="20">
        <v>1</v>
      </c>
      <c r="I105" s="22">
        <v>49</v>
      </c>
      <c r="J105" s="24">
        <v>45992</v>
      </c>
      <c r="K105" s="2" t="s">
        <v>49</v>
      </c>
      <c r="L105" s="2">
        <v>32</v>
      </c>
      <c r="M105" s="23">
        <f t="shared" si="2"/>
        <v>49</v>
      </c>
      <c r="N105" s="23">
        <f t="shared" si="3"/>
        <v>17</v>
      </c>
    </row>
    <row r="106" spans="1:14" ht="14.25" customHeight="1">
      <c r="A106" s="2" t="s">
        <v>50</v>
      </c>
      <c r="B106" s="2" t="s">
        <v>251</v>
      </c>
      <c r="C106" s="2" t="s">
        <v>252</v>
      </c>
      <c r="D106" s="2" t="s">
        <v>253</v>
      </c>
      <c r="E106" s="2" t="s">
        <v>452</v>
      </c>
      <c r="F106" s="2" t="s">
        <v>396</v>
      </c>
      <c r="G106" s="2" t="s">
        <v>36</v>
      </c>
      <c r="H106" s="2">
        <v>10</v>
      </c>
      <c r="I106" s="22">
        <v>355</v>
      </c>
      <c r="J106" s="24">
        <v>45669</v>
      </c>
      <c r="K106" s="2" t="s">
        <v>30</v>
      </c>
      <c r="L106" s="2">
        <v>90</v>
      </c>
      <c r="M106" s="23">
        <f t="shared" si="2"/>
        <v>3550</v>
      </c>
      <c r="N106" s="23">
        <f t="shared" si="3"/>
        <v>3460</v>
      </c>
    </row>
    <row r="107" spans="1:14" ht="14.25" customHeight="1">
      <c r="A107" s="2" t="s">
        <v>14</v>
      </c>
      <c r="B107" s="2" t="s">
        <v>254</v>
      </c>
      <c r="C107" s="2" t="s">
        <v>497</v>
      </c>
      <c r="D107" s="2" t="s">
        <v>365</v>
      </c>
      <c r="E107" s="2" t="s">
        <v>520</v>
      </c>
      <c r="F107" s="2" t="s">
        <v>390</v>
      </c>
      <c r="G107" s="2" t="s">
        <v>23</v>
      </c>
      <c r="H107" s="20">
        <v>1</v>
      </c>
      <c r="I107" s="22">
        <v>164</v>
      </c>
      <c r="J107" s="24">
        <v>45669</v>
      </c>
      <c r="K107" s="2" t="s">
        <v>30</v>
      </c>
      <c r="L107" s="2">
        <v>99</v>
      </c>
      <c r="M107" s="23">
        <f t="shared" si="2"/>
        <v>164</v>
      </c>
      <c r="N107" s="23">
        <f t="shared" si="3"/>
        <v>65</v>
      </c>
    </row>
    <row r="108" spans="1:14" ht="14.25" customHeight="1">
      <c r="A108" s="2" t="s">
        <v>103</v>
      </c>
      <c r="B108" s="2" t="s">
        <v>19</v>
      </c>
      <c r="C108" s="2" t="s">
        <v>255</v>
      </c>
      <c r="D108" s="2" t="s">
        <v>366</v>
      </c>
      <c r="E108" s="2" t="s">
        <v>473</v>
      </c>
      <c r="F108" s="2" t="s">
        <v>396</v>
      </c>
      <c r="G108" s="2" t="s">
        <v>70</v>
      </c>
      <c r="H108" s="20">
        <v>1</v>
      </c>
      <c r="I108" s="22">
        <v>262</v>
      </c>
      <c r="J108" s="24">
        <v>45669</v>
      </c>
      <c r="K108" s="2" t="s">
        <v>37</v>
      </c>
      <c r="L108" s="2">
        <v>82</v>
      </c>
      <c r="M108" s="23">
        <f t="shared" si="2"/>
        <v>262</v>
      </c>
      <c r="N108" s="23">
        <f t="shared" si="3"/>
        <v>180</v>
      </c>
    </row>
    <row r="109" spans="1:14" ht="14.25" customHeight="1">
      <c r="A109" s="2" t="s">
        <v>14</v>
      </c>
      <c r="B109" s="2" t="s">
        <v>115</v>
      </c>
      <c r="C109" s="2" t="s">
        <v>256</v>
      </c>
      <c r="D109" s="2" t="s">
        <v>367</v>
      </c>
      <c r="E109" s="2" t="s">
        <v>474</v>
      </c>
      <c r="F109" s="2" t="s">
        <v>379</v>
      </c>
      <c r="G109" s="2" t="s">
        <v>499</v>
      </c>
      <c r="H109" s="2">
        <v>6</v>
      </c>
      <c r="I109" s="22">
        <v>532</v>
      </c>
      <c r="J109" s="24">
        <v>45669</v>
      </c>
      <c r="K109" s="2" t="s">
        <v>37</v>
      </c>
      <c r="L109" s="2">
        <v>48</v>
      </c>
      <c r="M109" s="23">
        <f t="shared" si="2"/>
        <v>3192</v>
      </c>
      <c r="N109" s="23">
        <f t="shared" si="3"/>
        <v>3144</v>
      </c>
    </row>
    <row r="110" spans="1:14" ht="14.25" customHeight="1">
      <c r="A110" s="2" t="s">
        <v>31</v>
      </c>
      <c r="B110" s="2" t="s">
        <v>67</v>
      </c>
      <c r="C110" s="2" t="s">
        <v>257</v>
      </c>
      <c r="D110" s="2" t="s">
        <v>258</v>
      </c>
      <c r="E110" s="2" t="s">
        <v>475</v>
      </c>
      <c r="F110" s="2" t="s">
        <v>396</v>
      </c>
      <c r="G110" s="2" t="s">
        <v>77</v>
      </c>
      <c r="H110" s="20">
        <v>1</v>
      </c>
      <c r="I110" s="22">
        <v>730</v>
      </c>
      <c r="J110" s="24">
        <v>45669</v>
      </c>
      <c r="K110" s="2" t="s">
        <v>37</v>
      </c>
      <c r="L110" s="2">
        <v>15</v>
      </c>
      <c r="M110" s="23">
        <f t="shared" si="2"/>
        <v>730</v>
      </c>
      <c r="N110" s="23">
        <f t="shared" si="3"/>
        <v>715</v>
      </c>
    </row>
    <row r="111" spans="1:14" ht="14.25" customHeight="1">
      <c r="A111" s="2" t="s">
        <v>78</v>
      </c>
      <c r="B111" s="2" t="s">
        <v>193</v>
      </c>
      <c r="C111" s="2" t="s">
        <v>259</v>
      </c>
      <c r="D111" s="2" t="s">
        <v>260</v>
      </c>
      <c r="E111" s="2" t="s">
        <v>476</v>
      </c>
      <c r="F111" s="2" t="s">
        <v>379</v>
      </c>
      <c r="G111" s="2" t="s">
        <v>77</v>
      </c>
      <c r="H111" s="2">
        <v>5</v>
      </c>
      <c r="I111" s="22">
        <v>912</v>
      </c>
      <c r="J111" s="24">
        <v>45669</v>
      </c>
      <c r="K111" s="2" t="s">
        <v>49</v>
      </c>
      <c r="L111" s="2">
        <v>7</v>
      </c>
      <c r="M111" s="23">
        <f t="shared" si="2"/>
        <v>4560</v>
      </c>
      <c r="N111" s="23">
        <f t="shared" si="3"/>
        <v>4553</v>
      </c>
    </row>
    <row r="112" spans="1:14" ht="14.25" customHeight="1">
      <c r="A112" s="2" t="s">
        <v>170</v>
      </c>
      <c r="B112" s="2" t="s">
        <v>127</v>
      </c>
      <c r="C112" s="2" t="s">
        <v>261</v>
      </c>
      <c r="D112" s="2" t="s">
        <v>368</v>
      </c>
      <c r="E112" s="2" t="s">
        <v>477</v>
      </c>
      <c r="F112" s="2" t="s">
        <v>389</v>
      </c>
      <c r="G112" s="2" t="s">
        <v>92</v>
      </c>
      <c r="H112" s="2">
        <v>1</v>
      </c>
      <c r="I112" s="22">
        <v>507</v>
      </c>
      <c r="J112" s="24">
        <v>45669</v>
      </c>
      <c r="K112" s="2" t="s">
        <v>37</v>
      </c>
      <c r="L112" s="2">
        <v>24</v>
      </c>
      <c r="M112" s="23">
        <f t="shared" si="2"/>
        <v>507</v>
      </c>
      <c r="N112" s="23">
        <f t="shared" si="3"/>
        <v>483</v>
      </c>
    </row>
    <row r="113" spans="1:14" ht="14.25" customHeight="1">
      <c r="A113" s="2" t="s">
        <v>78</v>
      </c>
      <c r="B113" s="2" t="s">
        <v>127</v>
      </c>
      <c r="C113" s="2" t="s">
        <v>262</v>
      </c>
      <c r="D113" s="2" t="s">
        <v>369</v>
      </c>
      <c r="E113" s="2" t="s">
        <v>478</v>
      </c>
      <c r="F113" s="2" t="s">
        <v>381</v>
      </c>
      <c r="G113" s="2" t="s">
        <v>23</v>
      </c>
      <c r="H113" s="2">
        <v>10</v>
      </c>
      <c r="I113" s="22">
        <v>350</v>
      </c>
      <c r="J113" s="24">
        <v>45669</v>
      </c>
      <c r="K113" s="2" t="s">
        <v>37</v>
      </c>
      <c r="L113" s="2">
        <v>106</v>
      </c>
      <c r="M113" s="23">
        <f t="shared" si="2"/>
        <v>3500</v>
      </c>
      <c r="N113" s="23">
        <f t="shared" si="3"/>
        <v>3394</v>
      </c>
    </row>
    <row r="114" spans="1:14" ht="14.25" customHeight="1">
      <c r="A114" s="2" t="s">
        <v>100</v>
      </c>
      <c r="B114" s="2" t="s">
        <v>15</v>
      </c>
      <c r="C114" s="2" t="s">
        <v>263</v>
      </c>
      <c r="D114" s="2" t="s">
        <v>370</v>
      </c>
      <c r="E114" s="2" t="s">
        <v>479</v>
      </c>
      <c r="F114" s="2" t="s">
        <v>381</v>
      </c>
      <c r="G114" s="2" t="s">
        <v>92</v>
      </c>
      <c r="H114" s="20">
        <v>1</v>
      </c>
      <c r="I114" s="22">
        <v>26</v>
      </c>
      <c r="J114" s="24">
        <v>45669</v>
      </c>
      <c r="K114" s="2" t="s">
        <v>93</v>
      </c>
      <c r="L114" s="2">
        <v>15</v>
      </c>
      <c r="M114" s="23">
        <f t="shared" si="2"/>
        <v>26</v>
      </c>
      <c r="N114" s="23">
        <f t="shared" si="3"/>
        <v>11</v>
      </c>
    </row>
    <row r="115" spans="1:14" ht="14.25" customHeight="1">
      <c r="A115" s="2" t="s">
        <v>209</v>
      </c>
      <c r="B115" s="2" t="s">
        <v>237</v>
      </c>
      <c r="C115" s="2" t="s">
        <v>264</v>
      </c>
      <c r="D115" s="2" t="s">
        <v>371</v>
      </c>
      <c r="E115" s="2" t="s">
        <v>521</v>
      </c>
      <c r="F115" s="2" t="s">
        <v>386</v>
      </c>
      <c r="G115" s="2" t="s">
        <v>48</v>
      </c>
      <c r="H115" s="2">
        <v>10</v>
      </c>
      <c r="I115" s="22">
        <v>45</v>
      </c>
      <c r="J115" s="24">
        <v>45992</v>
      </c>
      <c r="K115" s="2" t="s">
        <v>37</v>
      </c>
      <c r="L115" s="2">
        <v>7</v>
      </c>
      <c r="M115" s="23">
        <f t="shared" si="2"/>
        <v>450</v>
      </c>
      <c r="N115" s="23">
        <f t="shared" si="3"/>
        <v>443</v>
      </c>
    </row>
    <row r="116" spans="1:14" ht="14.25" customHeight="1">
      <c r="A116" s="2" t="s">
        <v>18</v>
      </c>
      <c r="B116" s="2" t="s">
        <v>19</v>
      </c>
      <c r="C116" s="2" t="s">
        <v>265</v>
      </c>
      <c r="D116" s="2" t="s">
        <v>372</v>
      </c>
      <c r="E116" s="2" t="s">
        <v>480</v>
      </c>
      <c r="F116" s="2" t="s">
        <v>392</v>
      </c>
      <c r="G116" s="2" t="s">
        <v>29</v>
      </c>
      <c r="H116" s="2">
        <v>10</v>
      </c>
      <c r="I116" s="22">
        <v>29</v>
      </c>
      <c r="J116" s="24">
        <v>45669</v>
      </c>
      <c r="K116" s="2" t="s">
        <v>93</v>
      </c>
      <c r="L116" s="2">
        <v>14</v>
      </c>
      <c r="M116" s="23">
        <f t="shared" si="2"/>
        <v>290</v>
      </c>
      <c r="N116" s="23">
        <f t="shared" si="3"/>
        <v>276</v>
      </c>
    </row>
    <row r="117" spans="1:14" ht="14.25" customHeight="1">
      <c r="A117" s="2" t="s">
        <v>86</v>
      </c>
      <c r="B117" s="2" t="s">
        <v>51</v>
      </c>
      <c r="C117" s="2" t="s">
        <v>266</v>
      </c>
      <c r="D117" s="2" t="s">
        <v>373</v>
      </c>
      <c r="E117" s="2" t="s">
        <v>481</v>
      </c>
      <c r="F117" s="2" t="s">
        <v>396</v>
      </c>
      <c r="G117" s="2" t="s">
        <v>36</v>
      </c>
      <c r="H117" s="2">
        <v>10</v>
      </c>
      <c r="I117" s="22">
        <v>529</v>
      </c>
      <c r="J117" s="24">
        <v>45992</v>
      </c>
      <c r="K117" s="2" t="s">
        <v>37</v>
      </c>
      <c r="L117" s="2">
        <v>61</v>
      </c>
      <c r="M117" s="23">
        <f t="shared" si="2"/>
        <v>5290</v>
      </c>
      <c r="N117" s="23">
        <f t="shared" si="3"/>
        <v>5229</v>
      </c>
    </row>
    <row r="118" spans="1:14" ht="14.25" customHeight="1">
      <c r="A118" s="2" t="s">
        <v>42</v>
      </c>
      <c r="B118" s="2" t="s">
        <v>167</v>
      </c>
      <c r="C118" s="2" t="s">
        <v>267</v>
      </c>
      <c r="D118" s="2" t="s">
        <v>374</v>
      </c>
      <c r="E118" s="2" t="s">
        <v>482</v>
      </c>
      <c r="F118" s="2" t="s">
        <v>392</v>
      </c>
      <c r="G118" s="2" t="s">
        <v>70</v>
      </c>
      <c r="H118" s="20">
        <v>1</v>
      </c>
      <c r="I118" s="22">
        <v>563</v>
      </c>
      <c r="J118" s="24">
        <v>45992</v>
      </c>
      <c r="K118" s="2" t="s">
        <v>30</v>
      </c>
      <c r="L118" s="2">
        <v>24</v>
      </c>
      <c r="M118" s="23">
        <f t="shared" si="2"/>
        <v>563</v>
      </c>
      <c r="N118" s="23">
        <f t="shared" si="3"/>
        <v>539</v>
      </c>
    </row>
    <row r="119" spans="1:14" ht="14.25" customHeight="1">
      <c r="A119" s="2" t="s">
        <v>31</v>
      </c>
      <c r="B119" s="2" t="s">
        <v>171</v>
      </c>
      <c r="C119" s="2" t="s">
        <v>268</v>
      </c>
      <c r="D119" s="2" t="s">
        <v>375</v>
      </c>
      <c r="E119" s="2" t="s">
        <v>483</v>
      </c>
      <c r="F119" s="2" t="s">
        <v>392</v>
      </c>
      <c r="G119" s="2" t="s">
        <v>41</v>
      </c>
      <c r="H119" s="2">
        <v>10</v>
      </c>
      <c r="I119" s="22">
        <v>828</v>
      </c>
      <c r="J119" s="24">
        <v>45669</v>
      </c>
      <c r="K119" s="2" t="s">
        <v>49</v>
      </c>
      <c r="L119" s="2">
        <v>21</v>
      </c>
      <c r="M119" s="23">
        <f t="shared" si="2"/>
        <v>8280</v>
      </c>
      <c r="N119" s="23">
        <f t="shared" si="3"/>
        <v>8259</v>
      </c>
    </row>
    <row r="120" spans="1:14" ht="14.25" customHeight="1">
      <c r="A120" s="2" t="s">
        <v>100</v>
      </c>
      <c r="B120" s="2" t="s">
        <v>134</v>
      </c>
      <c r="C120" s="2" t="s">
        <v>498</v>
      </c>
      <c r="D120" s="2" t="s">
        <v>376</v>
      </c>
      <c r="E120" s="2" t="s">
        <v>484</v>
      </c>
      <c r="F120" s="2" t="s">
        <v>392</v>
      </c>
      <c r="G120" s="2" t="s">
        <v>23</v>
      </c>
      <c r="H120" s="2">
        <v>5</v>
      </c>
      <c r="I120" s="22">
        <v>22</v>
      </c>
      <c r="J120" s="24">
        <v>45992</v>
      </c>
      <c r="K120" s="2" t="s">
        <v>49</v>
      </c>
      <c r="L120" s="2">
        <v>2</v>
      </c>
      <c r="M120" s="23">
        <f t="shared" si="2"/>
        <v>110</v>
      </c>
      <c r="N120" s="23">
        <f t="shared" si="3"/>
        <v>108</v>
      </c>
    </row>
    <row r="121" spans="1:14" ht="14.25" customHeight="1">
      <c r="A121" s="2" t="s">
        <v>64</v>
      </c>
      <c r="B121" s="2" t="s">
        <v>195</v>
      </c>
      <c r="C121" s="2" t="s">
        <v>269</v>
      </c>
      <c r="D121" s="2" t="s">
        <v>377</v>
      </c>
      <c r="E121" s="2" t="s">
        <v>485</v>
      </c>
      <c r="F121" s="2" t="s">
        <v>392</v>
      </c>
      <c r="G121" s="2" t="s">
        <v>500</v>
      </c>
      <c r="H121" s="2">
        <v>10</v>
      </c>
      <c r="I121" s="22">
        <v>402</v>
      </c>
      <c r="J121" s="24">
        <v>45669</v>
      </c>
      <c r="K121" s="2" t="s">
        <v>93</v>
      </c>
      <c r="L121" s="2">
        <v>112</v>
      </c>
      <c r="M121" s="23">
        <f t="shared" si="2"/>
        <v>4020</v>
      </c>
      <c r="N121" s="23">
        <f t="shared" si="3"/>
        <v>3908</v>
      </c>
    </row>
    <row r="122" spans="1:14" ht="14.25" customHeight="1">
      <c r="H122" s="20"/>
      <c r="M122" s="23"/>
      <c r="N122" s="23"/>
    </row>
    <row r="123" spans="1:14" ht="14.25" customHeight="1">
      <c r="H123" s="20"/>
      <c r="M123" s="23"/>
      <c r="N123" s="23"/>
    </row>
    <row r="124" spans="1:14" ht="14.25" customHeight="1">
      <c r="H124" s="20"/>
      <c r="M124" s="23"/>
      <c r="N124" s="23"/>
    </row>
    <row r="125" spans="1:14" ht="14.25" customHeight="1">
      <c r="H125" s="20"/>
      <c r="M125" s="23"/>
      <c r="N125" s="23"/>
    </row>
    <row r="126" spans="1:14" ht="14.25" customHeight="1">
      <c r="H126" s="20"/>
      <c r="M126" s="23"/>
      <c r="N126" s="23"/>
    </row>
    <row r="127" spans="1:14" ht="14.25" customHeight="1">
      <c r="H127" s="20"/>
      <c r="M127" s="23"/>
      <c r="N127" s="23"/>
    </row>
    <row r="128" spans="1:14" ht="14.25" customHeight="1">
      <c r="H128" s="20"/>
      <c r="M128" s="23"/>
      <c r="N128" s="23"/>
    </row>
    <row r="129" spans="8:14" ht="14.25" customHeight="1">
      <c r="H129" s="20"/>
      <c r="M129" s="23"/>
      <c r="N129" s="23"/>
    </row>
    <row r="130" spans="8:14" ht="14.25" customHeight="1">
      <c r="H130" s="20"/>
      <c r="M130" s="23"/>
      <c r="N130" s="23"/>
    </row>
    <row r="131" spans="8:14" ht="14.25" customHeight="1">
      <c r="H131" s="20"/>
      <c r="M131" s="23"/>
      <c r="N131" s="23"/>
    </row>
    <row r="132" spans="8:14" ht="14.25" customHeight="1">
      <c r="H132" s="20"/>
      <c r="M132" s="23"/>
      <c r="N132" s="23"/>
    </row>
    <row r="133" spans="8:14" ht="14.25" customHeight="1">
      <c r="H133" s="20"/>
      <c r="M133" s="23"/>
      <c r="N133" s="23"/>
    </row>
    <row r="134" spans="8:14" ht="14.25" customHeight="1">
      <c r="H134" s="20"/>
      <c r="M134" s="23"/>
      <c r="N134" s="23"/>
    </row>
    <row r="135" spans="8:14" ht="14.25" customHeight="1">
      <c r="H135" s="20"/>
      <c r="M135" s="23"/>
      <c r="N135" s="23"/>
    </row>
    <row r="136" spans="8:14" ht="14.25" customHeight="1">
      <c r="H136" s="20"/>
      <c r="M136" s="23"/>
      <c r="N136" s="23"/>
    </row>
    <row r="137" spans="8:14" ht="14.25" customHeight="1">
      <c r="H137" s="20"/>
      <c r="M137" s="23"/>
      <c r="N137" s="23"/>
    </row>
    <row r="138" spans="8:14" ht="14.25" customHeight="1">
      <c r="H138" s="20"/>
      <c r="M138" s="23"/>
      <c r="N138" s="23"/>
    </row>
    <row r="139" spans="8:14" ht="14.25" customHeight="1">
      <c r="H139" s="20"/>
      <c r="M139" s="23"/>
      <c r="N139" s="23"/>
    </row>
    <row r="140" spans="8:14" ht="14.25" customHeight="1">
      <c r="H140" s="20"/>
      <c r="M140" s="23"/>
      <c r="N140" s="23"/>
    </row>
    <row r="141" spans="8:14" ht="14.25" customHeight="1">
      <c r="H141" s="20"/>
      <c r="M141" s="23"/>
      <c r="N141" s="23"/>
    </row>
    <row r="142" spans="8:14" ht="14.25" customHeight="1">
      <c r="H142" s="20"/>
      <c r="M142" s="23"/>
      <c r="N142" s="23"/>
    </row>
    <row r="143" spans="8:14" ht="14.25" customHeight="1">
      <c r="H143" s="20"/>
      <c r="M143" s="23"/>
      <c r="N143" s="23"/>
    </row>
    <row r="144" spans="8:14" ht="14.25" customHeight="1">
      <c r="H144" s="20"/>
      <c r="M144" s="23"/>
      <c r="N144" s="23"/>
    </row>
    <row r="145" spans="8:14" ht="14.25" customHeight="1">
      <c r="H145" s="20"/>
      <c r="M145" s="23"/>
      <c r="N145" s="23"/>
    </row>
    <row r="146" spans="8:14" ht="14.25" customHeight="1">
      <c r="H146" s="20"/>
      <c r="M146" s="23"/>
      <c r="N146" s="23"/>
    </row>
    <row r="147" spans="8:14" ht="14.25" customHeight="1">
      <c r="H147" s="20"/>
      <c r="M147" s="23"/>
      <c r="N147" s="23"/>
    </row>
    <row r="148" spans="8:14" ht="14.25" customHeight="1">
      <c r="H148" s="20"/>
      <c r="M148" s="23"/>
      <c r="N148" s="23"/>
    </row>
    <row r="149" spans="8:14" ht="14.25" customHeight="1">
      <c r="H149" s="20"/>
      <c r="M149" s="23"/>
      <c r="N149" s="23"/>
    </row>
    <row r="150" spans="8:14" ht="14.25" customHeight="1">
      <c r="H150" s="20"/>
      <c r="M150" s="23"/>
      <c r="N150" s="23"/>
    </row>
    <row r="151" spans="8:14" ht="14.25" customHeight="1">
      <c r="H151" s="20"/>
      <c r="M151" s="23"/>
      <c r="N151" s="23"/>
    </row>
    <row r="152" spans="8:14" ht="14.25" customHeight="1">
      <c r="H152" s="20"/>
      <c r="M152" s="23"/>
      <c r="N152" s="23"/>
    </row>
    <row r="153" spans="8:14" ht="14.25" customHeight="1">
      <c r="H153" s="20"/>
      <c r="M153" s="23"/>
      <c r="N153" s="23"/>
    </row>
    <row r="154" spans="8:14" ht="14.25" customHeight="1">
      <c r="H154" s="20"/>
      <c r="M154" s="23"/>
      <c r="N154" s="23"/>
    </row>
    <row r="155" spans="8:14" ht="14.25" customHeight="1">
      <c r="H155" s="20"/>
      <c r="M155" s="23"/>
      <c r="N155" s="23"/>
    </row>
    <row r="156" spans="8:14" ht="14.25" customHeight="1">
      <c r="H156" s="20"/>
      <c r="M156" s="23"/>
      <c r="N156" s="23"/>
    </row>
    <row r="157" spans="8:14" ht="14.25" customHeight="1">
      <c r="H157" s="20"/>
      <c r="M157" s="23"/>
      <c r="N157" s="23"/>
    </row>
    <row r="158" spans="8:14" ht="14.25" customHeight="1">
      <c r="H158" s="20"/>
      <c r="M158" s="23"/>
      <c r="N158" s="23"/>
    </row>
    <row r="159" spans="8:14" ht="14.25" customHeight="1">
      <c r="H159" s="20"/>
      <c r="M159" s="23"/>
      <c r="N159" s="23"/>
    </row>
    <row r="160" spans="8:14" ht="14.25" customHeight="1">
      <c r="H160" s="20"/>
      <c r="M160" s="23"/>
      <c r="N160" s="23"/>
    </row>
    <row r="161" spans="8:14" ht="14.25" customHeight="1">
      <c r="H161" s="20"/>
      <c r="M161" s="23"/>
      <c r="N161" s="23"/>
    </row>
    <row r="162" spans="8:14" ht="14.25" customHeight="1">
      <c r="H162" s="20"/>
      <c r="M162" s="23"/>
      <c r="N162" s="23"/>
    </row>
    <row r="163" spans="8:14" ht="14.25" customHeight="1">
      <c r="H163" s="20"/>
      <c r="M163" s="23"/>
      <c r="N163" s="23"/>
    </row>
    <row r="164" spans="8:14" ht="14.25" customHeight="1">
      <c r="H164" s="20"/>
      <c r="M164" s="23"/>
      <c r="N164" s="23"/>
    </row>
    <row r="165" spans="8:14" ht="14.25" customHeight="1">
      <c r="H165" s="20"/>
      <c r="M165" s="23"/>
      <c r="N165" s="23"/>
    </row>
    <row r="166" spans="8:14" ht="14.25" customHeight="1">
      <c r="H166" s="20"/>
      <c r="M166" s="23"/>
      <c r="N166" s="23"/>
    </row>
    <row r="167" spans="8:14" ht="14.25" customHeight="1">
      <c r="H167" s="20"/>
      <c r="M167" s="23"/>
      <c r="N167" s="23"/>
    </row>
    <row r="168" spans="8:14" ht="14.25" customHeight="1">
      <c r="H168" s="20"/>
      <c r="M168" s="23"/>
      <c r="N168" s="23"/>
    </row>
    <row r="169" spans="8:14" ht="14.25" customHeight="1">
      <c r="H169" s="20"/>
      <c r="M169" s="23"/>
      <c r="N169" s="23"/>
    </row>
    <row r="170" spans="8:14" ht="14.25" customHeight="1">
      <c r="H170" s="20"/>
      <c r="M170" s="23"/>
      <c r="N170" s="23"/>
    </row>
    <row r="171" spans="8:14" ht="14.25" customHeight="1">
      <c r="H171" s="20"/>
      <c r="M171" s="23"/>
      <c r="N171" s="23"/>
    </row>
    <row r="172" spans="8:14" ht="14.25" customHeight="1">
      <c r="H172" s="20"/>
      <c r="M172" s="23"/>
      <c r="N172" s="23"/>
    </row>
    <row r="173" spans="8:14" ht="14.25" customHeight="1">
      <c r="H173" s="20"/>
      <c r="M173" s="23"/>
      <c r="N173" s="23"/>
    </row>
    <row r="174" spans="8:14" ht="14.25" customHeight="1">
      <c r="H174" s="20"/>
      <c r="M174" s="23"/>
      <c r="N174" s="23"/>
    </row>
    <row r="175" spans="8:14" ht="14.25" customHeight="1">
      <c r="H175" s="20"/>
      <c r="M175" s="23"/>
      <c r="N175" s="23"/>
    </row>
    <row r="176" spans="8:14" ht="14.25" customHeight="1">
      <c r="H176" s="20"/>
      <c r="M176" s="23"/>
      <c r="N176" s="23"/>
    </row>
    <row r="177" spans="8:14" ht="14.25" customHeight="1">
      <c r="H177" s="20"/>
      <c r="M177" s="23"/>
      <c r="N177" s="23"/>
    </row>
    <row r="178" spans="8:14" ht="14.25" customHeight="1">
      <c r="H178" s="20"/>
      <c r="M178" s="23"/>
      <c r="N178" s="23"/>
    </row>
    <row r="179" spans="8:14" ht="14.25" customHeight="1">
      <c r="H179" s="20"/>
      <c r="M179" s="23"/>
      <c r="N179" s="23"/>
    </row>
    <row r="180" spans="8:14" ht="14.25" customHeight="1">
      <c r="H180" s="20"/>
      <c r="M180" s="23"/>
      <c r="N180" s="23"/>
    </row>
    <row r="181" spans="8:14" ht="14.25" customHeight="1">
      <c r="H181" s="20"/>
      <c r="M181" s="23"/>
      <c r="N181" s="23"/>
    </row>
    <row r="182" spans="8:14" ht="14.25" customHeight="1">
      <c r="H182" s="20"/>
      <c r="M182" s="23"/>
      <c r="N182" s="23"/>
    </row>
    <row r="183" spans="8:14" ht="14.25" customHeight="1">
      <c r="H183" s="20"/>
      <c r="M183" s="23"/>
      <c r="N183" s="23"/>
    </row>
    <row r="184" spans="8:14" ht="14.25" customHeight="1">
      <c r="H184" s="20"/>
      <c r="M184" s="23"/>
      <c r="N184" s="23"/>
    </row>
    <row r="185" spans="8:14" ht="14.25" customHeight="1">
      <c r="H185" s="20"/>
      <c r="M185" s="23"/>
      <c r="N185" s="23"/>
    </row>
    <row r="186" spans="8:14" ht="14.25" customHeight="1">
      <c r="H186" s="20"/>
      <c r="M186" s="23"/>
      <c r="N186" s="23"/>
    </row>
    <row r="187" spans="8:14" ht="14.25" customHeight="1">
      <c r="H187" s="20"/>
      <c r="M187" s="23"/>
      <c r="N187" s="23"/>
    </row>
    <row r="188" spans="8:14" ht="14.25" customHeight="1">
      <c r="H188" s="20"/>
      <c r="M188" s="23"/>
      <c r="N188" s="23"/>
    </row>
    <row r="189" spans="8:14" ht="14.25" customHeight="1">
      <c r="H189" s="20"/>
      <c r="M189" s="23"/>
      <c r="N189" s="23"/>
    </row>
    <row r="190" spans="8:14" ht="14.25" customHeight="1">
      <c r="H190" s="20"/>
      <c r="M190" s="23"/>
      <c r="N190" s="23"/>
    </row>
    <row r="191" spans="8:14" ht="14.25" customHeight="1">
      <c r="H191" s="20"/>
      <c r="M191" s="23"/>
      <c r="N191" s="23"/>
    </row>
    <row r="192" spans="8:14" ht="14.25" customHeight="1">
      <c r="H192" s="20"/>
      <c r="M192" s="23"/>
      <c r="N192" s="23"/>
    </row>
    <row r="193" spans="8:14" ht="14.25" customHeight="1">
      <c r="H193" s="20"/>
      <c r="M193" s="23"/>
      <c r="N193" s="23"/>
    </row>
    <row r="194" spans="8:14" ht="14.25" customHeight="1">
      <c r="H194" s="20"/>
      <c r="M194" s="23"/>
      <c r="N194" s="23"/>
    </row>
    <row r="195" spans="8:14" ht="14.25" customHeight="1">
      <c r="H195" s="20"/>
      <c r="M195" s="23"/>
      <c r="N195" s="23"/>
    </row>
    <row r="196" spans="8:14" ht="14.25" customHeight="1">
      <c r="H196" s="20"/>
      <c r="M196" s="23"/>
      <c r="N196" s="23"/>
    </row>
    <row r="197" spans="8:14" ht="14.25" customHeight="1">
      <c r="H197" s="20"/>
      <c r="M197" s="23"/>
      <c r="N197" s="23"/>
    </row>
    <row r="198" spans="8:14" ht="14.25" customHeight="1">
      <c r="H198" s="20"/>
      <c r="M198" s="23"/>
      <c r="N198" s="23"/>
    </row>
    <row r="199" spans="8:14" ht="14.25" customHeight="1">
      <c r="H199" s="20"/>
      <c r="M199" s="23"/>
      <c r="N199" s="23"/>
    </row>
    <row r="200" spans="8:14" ht="14.25" customHeight="1">
      <c r="H200" s="20"/>
      <c r="M200" s="23"/>
      <c r="N200" s="23"/>
    </row>
    <row r="201" spans="8:14" ht="14.25" customHeight="1">
      <c r="H201" s="20"/>
      <c r="M201" s="23"/>
      <c r="N201" s="23"/>
    </row>
    <row r="202" spans="8:14" ht="14.25" customHeight="1">
      <c r="H202" s="20"/>
      <c r="M202" s="23"/>
      <c r="N202" s="23"/>
    </row>
    <row r="203" spans="8:14" ht="14.25" customHeight="1">
      <c r="H203" s="20"/>
      <c r="M203" s="23"/>
      <c r="N203" s="23"/>
    </row>
    <row r="204" spans="8:14" ht="14.25" customHeight="1">
      <c r="H204" s="20"/>
      <c r="M204" s="23"/>
      <c r="N204" s="23"/>
    </row>
    <row r="205" spans="8:14" ht="14.25" customHeight="1">
      <c r="H205" s="20"/>
      <c r="M205" s="23"/>
      <c r="N205" s="23"/>
    </row>
    <row r="206" spans="8:14" ht="14.25" customHeight="1">
      <c r="H206" s="20"/>
      <c r="M206" s="23"/>
      <c r="N206" s="23"/>
    </row>
    <row r="207" spans="8:14" ht="14.25" customHeight="1">
      <c r="H207" s="20"/>
      <c r="M207" s="23"/>
      <c r="N207" s="23"/>
    </row>
    <row r="208" spans="8:14" ht="14.25" customHeight="1">
      <c r="H208" s="20"/>
      <c r="M208" s="23"/>
      <c r="N208" s="23"/>
    </row>
    <row r="209" spans="8:14" ht="14.25" customHeight="1">
      <c r="H209" s="20"/>
      <c r="M209" s="23"/>
      <c r="N209" s="23"/>
    </row>
    <row r="210" spans="8:14" ht="14.25" customHeight="1">
      <c r="H210" s="20"/>
      <c r="M210" s="23"/>
      <c r="N210" s="23"/>
    </row>
    <row r="211" spans="8:14" ht="14.25" customHeight="1">
      <c r="H211" s="20"/>
      <c r="M211" s="23"/>
      <c r="N211" s="23"/>
    </row>
    <row r="212" spans="8:14" ht="14.25" customHeight="1">
      <c r="H212" s="20"/>
      <c r="M212" s="23"/>
      <c r="N212" s="23"/>
    </row>
    <row r="213" spans="8:14" ht="14.25" customHeight="1">
      <c r="H213" s="20"/>
      <c r="M213" s="23"/>
      <c r="N213" s="23"/>
    </row>
    <row r="214" spans="8:14" ht="14.25" customHeight="1">
      <c r="H214" s="20"/>
      <c r="M214" s="23"/>
      <c r="N214" s="23"/>
    </row>
    <row r="215" spans="8:14" ht="14.25" customHeight="1">
      <c r="H215" s="20"/>
      <c r="M215" s="23"/>
      <c r="N215" s="23"/>
    </row>
    <row r="216" spans="8:14" ht="14.25" customHeight="1">
      <c r="H216" s="20"/>
      <c r="M216" s="23"/>
      <c r="N216" s="23"/>
    </row>
    <row r="217" spans="8:14" ht="14.25" customHeight="1">
      <c r="H217" s="20"/>
      <c r="M217" s="23"/>
      <c r="N217" s="23"/>
    </row>
    <row r="218" spans="8:14" ht="14.25" customHeight="1">
      <c r="H218" s="20"/>
      <c r="M218" s="23"/>
      <c r="N218" s="23"/>
    </row>
    <row r="219" spans="8:14" ht="14.25" customHeight="1">
      <c r="H219" s="20"/>
      <c r="M219" s="23"/>
      <c r="N219" s="23"/>
    </row>
    <row r="220" spans="8:14" ht="14.25" customHeight="1">
      <c r="H220" s="20"/>
      <c r="M220" s="23"/>
      <c r="N220" s="23"/>
    </row>
    <row r="221" spans="8:14" ht="14.25" customHeight="1">
      <c r="H221" s="20"/>
      <c r="M221" s="23"/>
      <c r="N221" s="23"/>
    </row>
    <row r="222" spans="8:14" ht="14.25" customHeight="1">
      <c r="H222" s="20"/>
      <c r="M222" s="23"/>
      <c r="N222" s="23"/>
    </row>
    <row r="223" spans="8:14" ht="14.25" customHeight="1">
      <c r="H223" s="20"/>
      <c r="M223" s="23"/>
      <c r="N223" s="23"/>
    </row>
    <row r="224" spans="8:14" ht="14.25" customHeight="1">
      <c r="H224" s="20"/>
      <c r="M224" s="23"/>
      <c r="N224" s="23"/>
    </row>
    <row r="225" spans="8:14" ht="14.25" customHeight="1">
      <c r="H225" s="20"/>
      <c r="M225" s="23"/>
      <c r="N225" s="23"/>
    </row>
    <row r="226" spans="8:14" ht="14.25" customHeight="1">
      <c r="H226" s="20"/>
      <c r="M226" s="23"/>
      <c r="N226" s="23"/>
    </row>
    <row r="227" spans="8:14" ht="14.25" customHeight="1">
      <c r="H227" s="20"/>
      <c r="M227" s="23"/>
      <c r="N227" s="23"/>
    </row>
    <row r="228" spans="8:14" ht="14.25" customHeight="1">
      <c r="H228" s="20"/>
      <c r="M228" s="23"/>
      <c r="N228" s="23"/>
    </row>
    <row r="229" spans="8:14" ht="14.25" customHeight="1">
      <c r="H229" s="20"/>
      <c r="M229" s="23"/>
      <c r="N229" s="23"/>
    </row>
    <row r="230" spans="8:14" ht="14.25" customHeight="1">
      <c r="H230" s="20"/>
      <c r="M230" s="23"/>
      <c r="N230" s="23"/>
    </row>
    <row r="231" spans="8:14" ht="14.25" customHeight="1">
      <c r="H231" s="20"/>
      <c r="M231" s="23"/>
      <c r="N231" s="23"/>
    </row>
    <row r="232" spans="8:14" ht="14.25" customHeight="1">
      <c r="H232" s="20"/>
      <c r="M232" s="23"/>
      <c r="N232" s="23"/>
    </row>
    <row r="233" spans="8:14" ht="14.25" customHeight="1">
      <c r="H233" s="20"/>
      <c r="M233" s="23"/>
      <c r="N233" s="23"/>
    </row>
    <row r="234" spans="8:14" ht="14.25" customHeight="1">
      <c r="H234" s="20"/>
      <c r="M234" s="23"/>
      <c r="N234" s="23"/>
    </row>
    <row r="235" spans="8:14" ht="14.25" customHeight="1">
      <c r="H235" s="20"/>
      <c r="M235" s="23"/>
      <c r="N235" s="23"/>
    </row>
    <row r="236" spans="8:14" ht="14.25" customHeight="1">
      <c r="H236" s="20"/>
      <c r="M236" s="23"/>
      <c r="N236" s="23"/>
    </row>
    <row r="237" spans="8:14" ht="14.25" customHeight="1">
      <c r="H237" s="20"/>
      <c r="M237" s="23"/>
      <c r="N237" s="23"/>
    </row>
    <row r="238" spans="8:14" ht="14.25" customHeight="1">
      <c r="H238" s="20"/>
      <c r="M238" s="23"/>
      <c r="N238" s="23"/>
    </row>
    <row r="239" spans="8:14" ht="14.25" customHeight="1">
      <c r="H239" s="20"/>
      <c r="M239" s="23"/>
      <c r="N239" s="23"/>
    </row>
    <row r="240" spans="8:14" ht="14.25" customHeight="1">
      <c r="H240" s="20"/>
      <c r="M240" s="23"/>
      <c r="N240" s="23"/>
    </row>
    <row r="241" spans="8:14" ht="14.25" customHeight="1">
      <c r="H241" s="20"/>
      <c r="M241" s="23"/>
      <c r="N241" s="23"/>
    </row>
    <row r="242" spans="8:14" ht="14.25" customHeight="1">
      <c r="H242" s="20"/>
      <c r="M242" s="23"/>
      <c r="N242" s="23"/>
    </row>
    <row r="243" spans="8:14" ht="14.25" customHeight="1">
      <c r="H243" s="20"/>
      <c r="M243" s="23"/>
      <c r="N243" s="23"/>
    </row>
    <row r="244" spans="8:14" ht="14.25" customHeight="1">
      <c r="H244" s="20"/>
      <c r="M244" s="23"/>
      <c r="N244" s="23"/>
    </row>
    <row r="245" spans="8:14" ht="14.25" customHeight="1">
      <c r="H245" s="20"/>
      <c r="M245" s="23"/>
      <c r="N245" s="23"/>
    </row>
    <row r="246" spans="8:14" ht="14.25" customHeight="1">
      <c r="H246" s="20"/>
      <c r="M246" s="23"/>
      <c r="N246" s="23"/>
    </row>
    <row r="247" spans="8:14" ht="14.25" customHeight="1">
      <c r="H247" s="20"/>
      <c r="M247" s="23"/>
      <c r="N247" s="23"/>
    </row>
    <row r="248" spans="8:14" ht="14.25" customHeight="1">
      <c r="H248" s="20"/>
      <c r="M248" s="23"/>
      <c r="N248" s="23"/>
    </row>
    <row r="249" spans="8:14" ht="14.25" customHeight="1">
      <c r="H249" s="20"/>
      <c r="M249" s="23"/>
      <c r="N249" s="23"/>
    </row>
    <row r="250" spans="8:14" ht="14.25" customHeight="1">
      <c r="H250" s="20"/>
      <c r="M250" s="23"/>
      <c r="N250" s="23"/>
    </row>
    <row r="251" spans="8:14" ht="14.25" customHeight="1">
      <c r="H251" s="20"/>
      <c r="M251" s="23"/>
      <c r="N251" s="23"/>
    </row>
    <row r="252" spans="8:14" ht="14.25" customHeight="1">
      <c r="H252" s="20"/>
      <c r="M252" s="23"/>
      <c r="N252" s="23"/>
    </row>
    <row r="253" spans="8:14" ht="14.25" customHeight="1">
      <c r="H253" s="20"/>
      <c r="M253" s="23"/>
      <c r="N253" s="23"/>
    </row>
    <row r="254" spans="8:14" ht="14.25" customHeight="1">
      <c r="H254" s="20"/>
      <c r="M254" s="23"/>
      <c r="N254" s="23"/>
    </row>
    <row r="255" spans="8:14" ht="14.25" customHeight="1">
      <c r="H255" s="20"/>
      <c r="M255" s="23"/>
      <c r="N255" s="23"/>
    </row>
    <row r="256" spans="8:14" ht="14.25" customHeight="1">
      <c r="H256" s="20"/>
      <c r="M256" s="23"/>
      <c r="N256" s="23"/>
    </row>
    <row r="257" spans="8:14" ht="14.25" customHeight="1">
      <c r="H257" s="20"/>
      <c r="M257" s="23"/>
      <c r="N257" s="23"/>
    </row>
    <row r="258" spans="8:14" ht="14.25" customHeight="1">
      <c r="H258" s="20"/>
      <c r="M258" s="23"/>
      <c r="N258" s="23"/>
    </row>
    <row r="259" spans="8:14" ht="14.25" customHeight="1">
      <c r="H259" s="20"/>
      <c r="M259" s="23"/>
      <c r="N259" s="23"/>
    </row>
    <row r="260" spans="8:14" ht="14.25" customHeight="1">
      <c r="H260" s="20"/>
      <c r="M260" s="23"/>
      <c r="N260" s="23"/>
    </row>
    <row r="261" spans="8:14" ht="14.25" customHeight="1">
      <c r="H261" s="20"/>
      <c r="M261" s="23"/>
      <c r="N261" s="23"/>
    </row>
    <row r="262" spans="8:14" ht="14.25" customHeight="1">
      <c r="H262" s="20"/>
      <c r="M262" s="23"/>
      <c r="N262" s="23"/>
    </row>
    <row r="263" spans="8:14" ht="14.25" customHeight="1">
      <c r="H263" s="20"/>
      <c r="M263" s="23"/>
      <c r="N263" s="23"/>
    </row>
    <row r="264" spans="8:14" ht="14.25" customHeight="1">
      <c r="H264" s="20"/>
      <c r="M264" s="23"/>
      <c r="N264" s="23"/>
    </row>
    <row r="265" spans="8:14" ht="14.25" customHeight="1">
      <c r="H265" s="20"/>
      <c r="M265" s="23"/>
      <c r="N265" s="23"/>
    </row>
    <row r="266" spans="8:14" ht="14.25" customHeight="1">
      <c r="H266" s="20"/>
      <c r="M266" s="23"/>
      <c r="N266" s="23"/>
    </row>
    <row r="267" spans="8:14" ht="14.25" customHeight="1">
      <c r="H267" s="20"/>
      <c r="M267" s="23"/>
      <c r="N267" s="23"/>
    </row>
    <row r="268" spans="8:14" ht="14.25" customHeight="1">
      <c r="H268" s="20"/>
      <c r="M268" s="23"/>
      <c r="N268" s="23"/>
    </row>
    <row r="269" spans="8:14" ht="14.25" customHeight="1">
      <c r="H269" s="20"/>
      <c r="M269" s="23"/>
      <c r="N269" s="23"/>
    </row>
    <row r="270" spans="8:14" ht="14.25" customHeight="1">
      <c r="H270" s="20"/>
      <c r="M270" s="23"/>
      <c r="N270" s="23"/>
    </row>
    <row r="271" spans="8:14" ht="14.25" customHeight="1">
      <c r="H271" s="20"/>
      <c r="M271" s="23"/>
      <c r="N271" s="23"/>
    </row>
    <row r="272" spans="8:14" ht="14.25" customHeight="1">
      <c r="H272" s="20"/>
      <c r="M272" s="23"/>
      <c r="N272" s="23"/>
    </row>
    <row r="273" spans="8:14" ht="14.25" customHeight="1">
      <c r="H273" s="20"/>
      <c r="M273" s="23"/>
      <c r="N273" s="23"/>
    </row>
    <row r="274" spans="8:14" ht="14.25" customHeight="1">
      <c r="H274" s="20"/>
      <c r="M274" s="23"/>
      <c r="N274" s="23"/>
    </row>
    <row r="275" spans="8:14" ht="14.25" customHeight="1">
      <c r="H275" s="20"/>
      <c r="M275" s="23"/>
      <c r="N275" s="23"/>
    </row>
    <row r="276" spans="8:14" ht="14.25" customHeight="1">
      <c r="H276" s="20"/>
      <c r="M276" s="23"/>
      <c r="N276" s="23"/>
    </row>
    <row r="277" spans="8:14" ht="14.25" customHeight="1">
      <c r="H277" s="20"/>
      <c r="M277" s="23"/>
      <c r="N277" s="23"/>
    </row>
    <row r="278" spans="8:14" ht="14.25" customHeight="1">
      <c r="H278" s="20"/>
      <c r="M278" s="23"/>
      <c r="N278" s="23"/>
    </row>
    <row r="279" spans="8:14" ht="14.25" customHeight="1">
      <c r="H279" s="20"/>
      <c r="M279" s="23"/>
      <c r="N279" s="23"/>
    </row>
    <row r="280" spans="8:14" ht="14.25" customHeight="1">
      <c r="H280" s="20"/>
      <c r="M280" s="23"/>
      <c r="N280" s="23"/>
    </row>
    <row r="281" spans="8:14" ht="14.25" customHeight="1">
      <c r="H281" s="20"/>
      <c r="M281" s="23"/>
      <c r="N281" s="23"/>
    </row>
    <row r="282" spans="8:14" ht="14.25" customHeight="1">
      <c r="H282" s="20"/>
      <c r="M282" s="23"/>
      <c r="N282" s="23"/>
    </row>
    <row r="283" spans="8:14" ht="14.25" customHeight="1">
      <c r="H283" s="20"/>
      <c r="M283" s="23"/>
      <c r="N283" s="23"/>
    </row>
    <row r="284" spans="8:14" ht="14.25" customHeight="1">
      <c r="H284" s="20"/>
      <c r="M284" s="23"/>
      <c r="N284" s="23"/>
    </row>
    <row r="285" spans="8:14" ht="14.25" customHeight="1">
      <c r="H285" s="20"/>
      <c r="M285" s="23"/>
      <c r="N285" s="23"/>
    </row>
    <row r="286" spans="8:14" ht="14.25" customHeight="1">
      <c r="H286" s="20"/>
      <c r="M286" s="23"/>
      <c r="N286" s="23"/>
    </row>
    <row r="287" spans="8:14" ht="14.25" customHeight="1">
      <c r="H287" s="20"/>
      <c r="M287" s="23"/>
      <c r="N287" s="23"/>
    </row>
    <row r="288" spans="8:14" ht="14.25" customHeight="1">
      <c r="H288" s="20"/>
      <c r="M288" s="23"/>
      <c r="N288" s="23"/>
    </row>
    <row r="289" spans="8:14" ht="14.25" customHeight="1">
      <c r="H289" s="20"/>
      <c r="M289" s="23"/>
      <c r="N289" s="23"/>
    </row>
    <row r="290" spans="8:14" ht="14.25" customHeight="1">
      <c r="H290" s="20"/>
      <c r="M290" s="23"/>
      <c r="N290" s="23"/>
    </row>
    <row r="291" spans="8:14" ht="14.25" customHeight="1">
      <c r="H291" s="20"/>
      <c r="M291" s="23"/>
      <c r="N291" s="23"/>
    </row>
    <row r="292" spans="8:14" ht="14.25" customHeight="1">
      <c r="H292" s="20"/>
      <c r="M292" s="23"/>
      <c r="N292" s="23"/>
    </row>
    <row r="293" spans="8:14" ht="14.25" customHeight="1">
      <c r="H293" s="20"/>
      <c r="M293" s="23"/>
      <c r="N293" s="23"/>
    </row>
    <row r="294" spans="8:14" ht="14.25" customHeight="1">
      <c r="H294" s="20"/>
      <c r="M294" s="23"/>
      <c r="N294" s="23"/>
    </row>
    <row r="295" spans="8:14" ht="14.25" customHeight="1">
      <c r="H295" s="20"/>
      <c r="M295" s="23"/>
      <c r="N295" s="23"/>
    </row>
    <row r="296" spans="8:14" ht="14.25" customHeight="1">
      <c r="H296" s="20"/>
      <c r="M296" s="23"/>
      <c r="N296" s="23"/>
    </row>
    <row r="297" spans="8:14" ht="14.25" customHeight="1">
      <c r="H297" s="20"/>
      <c r="M297" s="23"/>
      <c r="N297" s="23"/>
    </row>
    <row r="298" spans="8:14" ht="14.25" customHeight="1">
      <c r="H298" s="20"/>
      <c r="M298" s="23"/>
      <c r="N298" s="23"/>
    </row>
    <row r="299" spans="8:14" ht="14.25" customHeight="1">
      <c r="H299" s="20"/>
      <c r="M299" s="23"/>
      <c r="N299" s="23"/>
    </row>
    <row r="300" spans="8:14" ht="14.25" customHeight="1">
      <c r="H300" s="20"/>
      <c r="M300" s="23"/>
      <c r="N300" s="23"/>
    </row>
    <row r="301" spans="8:14" ht="14.25" customHeight="1">
      <c r="H301" s="20"/>
      <c r="M301" s="23"/>
      <c r="N301" s="23"/>
    </row>
    <row r="302" spans="8:14" ht="14.25" customHeight="1">
      <c r="H302" s="20"/>
      <c r="M302" s="23"/>
      <c r="N302" s="23"/>
    </row>
    <row r="303" spans="8:14" ht="14.25" customHeight="1">
      <c r="H303" s="20"/>
      <c r="M303" s="23"/>
      <c r="N303" s="23"/>
    </row>
    <row r="304" spans="8:14" ht="14.25" customHeight="1">
      <c r="H304" s="20"/>
      <c r="M304" s="23"/>
      <c r="N304" s="23"/>
    </row>
    <row r="305" spans="8:14" ht="14.25" customHeight="1">
      <c r="H305" s="20"/>
      <c r="M305" s="23"/>
      <c r="N305" s="23"/>
    </row>
    <row r="306" spans="8:14" ht="14.25" customHeight="1">
      <c r="H306" s="20"/>
      <c r="M306" s="23"/>
      <c r="N306" s="23"/>
    </row>
    <row r="307" spans="8:14" ht="14.25" customHeight="1">
      <c r="H307" s="20"/>
      <c r="M307" s="23"/>
      <c r="N307" s="23"/>
    </row>
    <row r="308" spans="8:14" ht="14.25" customHeight="1">
      <c r="H308" s="20"/>
      <c r="M308" s="23"/>
      <c r="N308" s="23"/>
    </row>
    <row r="309" spans="8:14" ht="14.25" customHeight="1">
      <c r="H309" s="20"/>
      <c r="M309" s="23"/>
      <c r="N309" s="23"/>
    </row>
    <row r="310" spans="8:14" ht="14.25" customHeight="1">
      <c r="H310" s="20"/>
      <c r="M310" s="23"/>
      <c r="N310" s="23"/>
    </row>
    <row r="311" spans="8:14" ht="14.25" customHeight="1">
      <c r="H311" s="20"/>
      <c r="M311" s="23"/>
      <c r="N311" s="23"/>
    </row>
    <row r="312" spans="8:14" ht="14.25" customHeight="1">
      <c r="H312" s="20"/>
      <c r="M312" s="23"/>
      <c r="N312" s="23"/>
    </row>
    <row r="313" spans="8:14" ht="14.25" customHeight="1">
      <c r="H313" s="20"/>
      <c r="M313" s="23"/>
      <c r="N313" s="23"/>
    </row>
    <row r="314" spans="8:14" ht="14.25" customHeight="1">
      <c r="H314" s="20"/>
      <c r="M314" s="23"/>
      <c r="N314" s="23"/>
    </row>
    <row r="315" spans="8:14" ht="14.25" customHeight="1">
      <c r="H315" s="20"/>
      <c r="M315" s="23"/>
      <c r="N315" s="23"/>
    </row>
    <row r="316" spans="8:14" ht="14.25" customHeight="1">
      <c r="H316" s="20"/>
      <c r="M316" s="23"/>
      <c r="N316" s="23"/>
    </row>
    <row r="317" spans="8:14" ht="14.25" customHeight="1">
      <c r="H317" s="20"/>
      <c r="M317" s="23"/>
      <c r="N317" s="23"/>
    </row>
    <row r="318" spans="8:14" ht="14.25" customHeight="1">
      <c r="H318" s="20"/>
      <c r="M318" s="23"/>
      <c r="N318" s="23"/>
    </row>
    <row r="319" spans="8:14" ht="14.25" customHeight="1">
      <c r="H319" s="20"/>
      <c r="M319" s="23"/>
      <c r="N319" s="23"/>
    </row>
    <row r="320" spans="8:14" ht="14.25" customHeight="1">
      <c r="H320" s="20"/>
      <c r="M320" s="23"/>
      <c r="N320" s="23"/>
    </row>
    <row r="321" spans="8:14" ht="14.25" customHeight="1">
      <c r="H321" s="20"/>
      <c r="M321" s="23"/>
      <c r="N321" s="23"/>
    </row>
    <row r="322" spans="8:14" ht="14.25" customHeight="1">
      <c r="H322" s="20"/>
      <c r="M322" s="23"/>
      <c r="N322" s="23"/>
    </row>
    <row r="323" spans="8:14" ht="14.25" customHeight="1">
      <c r="H323" s="20"/>
      <c r="M323" s="23"/>
      <c r="N323" s="23"/>
    </row>
    <row r="324" spans="8:14" ht="14.25" customHeight="1">
      <c r="H324" s="20"/>
      <c r="M324" s="23"/>
      <c r="N324" s="23"/>
    </row>
    <row r="325" spans="8:14" ht="14.25" customHeight="1">
      <c r="H325" s="20"/>
      <c r="M325" s="23"/>
      <c r="N325" s="23"/>
    </row>
    <row r="326" spans="8:14" ht="14.25" customHeight="1">
      <c r="H326" s="20"/>
      <c r="M326" s="23"/>
      <c r="N326" s="23"/>
    </row>
    <row r="327" spans="8:14" ht="14.25" customHeight="1">
      <c r="H327" s="20"/>
      <c r="M327" s="23"/>
      <c r="N327" s="23"/>
    </row>
    <row r="328" spans="8:14" ht="14.25" customHeight="1">
      <c r="H328" s="20"/>
      <c r="M328" s="23"/>
      <c r="N328" s="23"/>
    </row>
    <row r="329" spans="8:14" ht="14.25" customHeight="1">
      <c r="H329" s="20"/>
      <c r="M329" s="23"/>
      <c r="N329" s="23"/>
    </row>
    <row r="330" spans="8:14" ht="14.25" customHeight="1">
      <c r="H330" s="20"/>
      <c r="M330" s="23"/>
      <c r="N330" s="23"/>
    </row>
    <row r="331" spans="8:14" ht="14.25" customHeight="1">
      <c r="H331" s="20"/>
      <c r="M331" s="23"/>
      <c r="N331" s="23"/>
    </row>
    <row r="332" spans="8:14" ht="14.25" customHeight="1">
      <c r="H332" s="20"/>
      <c r="M332" s="23"/>
      <c r="N332" s="23"/>
    </row>
    <row r="333" spans="8:14" ht="14.25" customHeight="1">
      <c r="H333" s="20"/>
      <c r="M333" s="23"/>
      <c r="N333" s="23"/>
    </row>
    <row r="334" spans="8:14" ht="14.25" customHeight="1">
      <c r="H334" s="20"/>
      <c r="M334" s="23"/>
      <c r="N334" s="23"/>
    </row>
    <row r="335" spans="8:14" ht="14.25" customHeight="1">
      <c r="H335" s="20"/>
      <c r="M335" s="23"/>
      <c r="N335" s="23"/>
    </row>
    <row r="336" spans="8:14" ht="14.25" customHeight="1">
      <c r="H336" s="20"/>
      <c r="M336" s="23"/>
      <c r="N336" s="23"/>
    </row>
    <row r="337" spans="8:14" ht="14.25" customHeight="1">
      <c r="H337" s="20"/>
      <c r="M337" s="23"/>
      <c r="N337" s="23"/>
    </row>
    <row r="338" spans="8:14" ht="14.25" customHeight="1">
      <c r="H338" s="20"/>
      <c r="M338" s="23"/>
      <c r="N338" s="23"/>
    </row>
    <row r="339" spans="8:14" ht="14.25" customHeight="1">
      <c r="H339" s="20"/>
      <c r="M339" s="23"/>
      <c r="N339" s="23"/>
    </row>
    <row r="340" spans="8:14" ht="14.25" customHeight="1">
      <c r="H340" s="20"/>
      <c r="M340" s="23"/>
      <c r="N340" s="23"/>
    </row>
    <row r="341" spans="8:14" ht="14.25" customHeight="1">
      <c r="H341" s="20"/>
      <c r="M341" s="23"/>
      <c r="N341" s="23"/>
    </row>
    <row r="342" spans="8:14" ht="14.25" customHeight="1">
      <c r="H342" s="20"/>
      <c r="M342" s="23"/>
      <c r="N342" s="23"/>
    </row>
    <row r="343" spans="8:14" ht="14.25" customHeight="1">
      <c r="H343" s="20"/>
      <c r="M343" s="23"/>
      <c r="N343" s="23"/>
    </row>
    <row r="344" spans="8:14" ht="14.25" customHeight="1">
      <c r="H344" s="20"/>
      <c r="M344" s="23"/>
      <c r="N344" s="23"/>
    </row>
    <row r="345" spans="8:14" ht="14.25" customHeight="1">
      <c r="H345" s="20"/>
      <c r="M345" s="23"/>
      <c r="N345" s="23"/>
    </row>
    <row r="346" spans="8:14" ht="14.25" customHeight="1">
      <c r="H346" s="20"/>
      <c r="M346" s="23"/>
      <c r="N346" s="23"/>
    </row>
    <row r="347" spans="8:14" ht="14.25" customHeight="1">
      <c r="H347" s="20"/>
      <c r="M347" s="23"/>
      <c r="N347" s="23"/>
    </row>
    <row r="348" spans="8:14" ht="14.25" customHeight="1">
      <c r="H348" s="20"/>
      <c r="M348" s="23"/>
      <c r="N348" s="23"/>
    </row>
    <row r="349" spans="8:14" ht="14.25" customHeight="1">
      <c r="H349" s="20"/>
      <c r="M349" s="23"/>
      <c r="N349" s="23"/>
    </row>
    <row r="350" spans="8:14" ht="14.25" customHeight="1">
      <c r="H350" s="20"/>
      <c r="M350" s="23"/>
      <c r="N350" s="23"/>
    </row>
    <row r="351" spans="8:14" ht="14.25" customHeight="1">
      <c r="H351" s="20"/>
      <c r="M351" s="23"/>
      <c r="N351" s="23"/>
    </row>
    <row r="352" spans="8:14" ht="14.25" customHeight="1">
      <c r="H352" s="20"/>
      <c r="M352" s="23"/>
      <c r="N352" s="23"/>
    </row>
    <row r="353" spans="8:14" ht="14.25" customHeight="1">
      <c r="H353" s="20"/>
      <c r="M353" s="23"/>
      <c r="N353" s="23"/>
    </row>
    <row r="354" spans="8:14" ht="14.25" customHeight="1">
      <c r="H354" s="20"/>
      <c r="M354" s="23"/>
      <c r="N354" s="23"/>
    </row>
    <row r="355" spans="8:14" ht="14.25" customHeight="1">
      <c r="H355" s="20"/>
      <c r="M355" s="23"/>
      <c r="N355" s="23"/>
    </row>
    <row r="356" spans="8:14" ht="14.25" customHeight="1">
      <c r="H356" s="20"/>
      <c r="M356" s="23"/>
      <c r="N356" s="23"/>
    </row>
    <row r="357" spans="8:14" ht="14.25" customHeight="1">
      <c r="H357" s="20"/>
      <c r="M357" s="23"/>
      <c r="N357" s="23"/>
    </row>
    <row r="358" spans="8:14" ht="14.25" customHeight="1">
      <c r="H358" s="20"/>
      <c r="M358" s="23"/>
      <c r="N358" s="23"/>
    </row>
    <row r="359" spans="8:14" ht="14.25" customHeight="1">
      <c r="H359" s="20"/>
      <c r="M359" s="23"/>
      <c r="N359" s="23"/>
    </row>
    <row r="360" spans="8:14" ht="14.25" customHeight="1">
      <c r="H360" s="20"/>
      <c r="M360" s="23"/>
      <c r="N360" s="23"/>
    </row>
    <row r="361" spans="8:14" ht="14.25" customHeight="1">
      <c r="H361" s="20"/>
      <c r="M361" s="23"/>
      <c r="N361" s="23"/>
    </row>
    <row r="362" spans="8:14" ht="14.25" customHeight="1">
      <c r="H362" s="20"/>
      <c r="M362" s="23"/>
      <c r="N362" s="23"/>
    </row>
    <row r="363" spans="8:14" ht="14.25" customHeight="1">
      <c r="H363" s="20"/>
      <c r="M363" s="23"/>
      <c r="N363" s="23"/>
    </row>
    <row r="364" spans="8:14" ht="14.25" customHeight="1">
      <c r="H364" s="20"/>
      <c r="M364" s="23"/>
      <c r="N364" s="23"/>
    </row>
    <row r="365" spans="8:14" ht="14.25" customHeight="1">
      <c r="H365" s="20"/>
      <c r="M365" s="23"/>
      <c r="N365" s="23"/>
    </row>
    <row r="366" spans="8:14" ht="14.25" customHeight="1">
      <c r="H366" s="20"/>
      <c r="M366" s="23"/>
      <c r="N366" s="23"/>
    </row>
    <row r="367" spans="8:14" ht="14.25" customHeight="1">
      <c r="H367" s="20"/>
      <c r="M367" s="23"/>
      <c r="N367" s="23"/>
    </row>
    <row r="368" spans="8:14" ht="14.25" customHeight="1">
      <c r="H368" s="20"/>
      <c r="M368" s="23"/>
      <c r="N368" s="23"/>
    </row>
    <row r="369" spans="8:14" ht="14.25" customHeight="1">
      <c r="H369" s="20"/>
      <c r="M369" s="23"/>
      <c r="N369" s="23"/>
    </row>
    <row r="370" spans="8:14" ht="14.25" customHeight="1">
      <c r="H370" s="20"/>
      <c r="M370" s="23"/>
      <c r="N370" s="23"/>
    </row>
    <row r="371" spans="8:14" ht="14.25" customHeight="1">
      <c r="H371" s="20"/>
      <c r="M371" s="23"/>
      <c r="N371" s="23"/>
    </row>
    <row r="372" spans="8:14" ht="14.25" customHeight="1">
      <c r="H372" s="20"/>
      <c r="M372" s="23"/>
      <c r="N372" s="23"/>
    </row>
    <row r="373" spans="8:14" ht="14.25" customHeight="1">
      <c r="H373" s="20"/>
      <c r="M373" s="23"/>
      <c r="N373" s="23"/>
    </row>
    <row r="374" spans="8:14" ht="14.25" customHeight="1">
      <c r="H374" s="20"/>
      <c r="M374" s="23"/>
      <c r="N374" s="23"/>
    </row>
    <row r="375" spans="8:14" ht="14.25" customHeight="1">
      <c r="H375" s="20"/>
      <c r="M375" s="23"/>
      <c r="N375" s="23"/>
    </row>
    <row r="376" spans="8:14" ht="14.25" customHeight="1">
      <c r="H376" s="20"/>
      <c r="M376" s="23"/>
      <c r="N376" s="23"/>
    </row>
    <row r="377" spans="8:14" ht="14.25" customHeight="1">
      <c r="H377" s="20"/>
      <c r="M377" s="23"/>
      <c r="N377" s="23"/>
    </row>
    <row r="378" spans="8:14" ht="14.25" customHeight="1">
      <c r="H378" s="20"/>
      <c r="M378" s="23"/>
      <c r="N378" s="23"/>
    </row>
    <row r="379" spans="8:14" ht="14.25" customHeight="1">
      <c r="H379" s="20"/>
      <c r="M379" s="23"/>
      <c r="N379" s="23"/>
    </row>
    <row r="380" spans="8:14" ht="14.25" customHeight="1">
      <c r="H380" s="20"/>
      <c r="M380" s="23"/>
      <c r="N380" s="23"/>
    </row>
    <row r="381" spans="8:14" ht="14.25" customHeight="1">
      <c r="H381" s="20"/>
      <c r="M381" s="23"/>
      <c r="N381" s="23"/>
    </row>
    <row r="382" spans="8:14" ht="14.25" customHeight="1">
      <c r="H382" s="20"/>
      <c r="M382" s="23"/>
      <c r="N382" s="23"/>
    </row>
    <row r="383" spans="8:14" ht="14.25" customHeight="1">
      <c r="H383" s="20"/>
      <c r="M383" s="23"/>
      <c r="N383" s="23"/>
    </row>
    <row r="384" spans="8:14" ht="14.25" customHeight="1">
      <c r="H384" s="20"/>
      <c r="M384" s="23"/>
      <c r="N384" s="23"/>
    </row>
    <row r="385" spans="8:14" ht="14.25" customHeight="1">
      <c r="H385" s="20"/>
      <c r="M385" s="23"/>
      <c r="N385" s="23"/>
    </row>
    <row r="386" spans="8:14" ht="14.25" customHeight="1">
      <c r="H386" s="20"/>
      <c r="M386" s="23"/>
      <c r="N386" s="23"/>
    </row>
    <row r="387" spans="8:14" ht="14.25" customHeight="1">
      <c r="H387" s="20"/>
      <c r="M387" s="23"/>
      <c r="N387" s="23"/>
    </row>
    <row r="388" spans="8:14" ht="14.25" customHeight="1">
      <c r="H388" s="20"/>
      <c r="M388" s="23"/>
      <c r="N388" s="23"/>
    </row>
    <row r="389" spans="8:14" ht="14.25" customHeight="1">
      <c r="H389" s="20"/>
      <c r="M389" s="23"/>
      <c r="N389" s="23"/>
    </row>
    <row r="390" spans="8:14" ht="14.25" customHeight="1">
      <c r="H390" s="20"/>
      <c r="M390" s="23"/>
      <c r="N390" s="23"/>
    </row>
    <row r="391" spans="8:14" ht="14.25" customHeight="1">
      <c r="H391" s="20"/>
      <c r="M391" s="23"/>
      <c r="N391" s="23"/>
    </row>
    <row r="392" spans="8:14" ht="14.25" customHeight="1">
      <c r="H392" s="20"/>
      <c r="M392" s="23"/>
      <c r="N392" s="23"/>
    </row>
    <row r="393" spans="8:14" ht="14.25" customHeight="1">
      <c r="H393" s="20"/>
      <c r="M393" s="23"/>
      <c r="N393" s="23"/>
    </row>
    <row r="394" spans="8:14" ht="14.25" customHeight="1">
      <c r="H394" s="20"/>
      <c r="M394" s="23"/>
      <c r="N394" s="23"/>
    </row>
    <row r="395" spans="8:14" ht="14.25" customHeight="1">
      <c r="H395" s="20"/>
      <c r="M395" s="23"/>
      <c r="N395" s="23"/>
    </row>
    <row r="396" spans="8:14" ht="14.25" customHeight="1">
      <c r="H396" s="20"/>
      <c r="M396" s="23"/>
      <c r="N396" s="23"/>
    </row>
    <row r="397" spans="8:14" ht="14.25" customHeight="1">
      <c r="H397" s="20"/>
      <c r="M397" s="23"/>
      <c r="N397" s="23"/>
    </row>
    <row r="398" spans="8:14" ht="14.25" customHeight="1">
      <c r="H398" s="20"/>
      <c r="M398" s="23"/>
      <c r="N398" s="23"/>
    </row>
    <row r="399" spans="8:14" ht="14.25" customHeight="1">
      <c r="H399" s="20"/>
      <c r="M399" s="23"/>
      <c r="N399" s="23"/>
    </row>
    <row r="400" spans="8:14" ht="14.25" customHeight="1">
      <c r="H400" s="20"/>
      <c r="M400" s="23"/>
      <c r="N400" s="23"/>
    </row>
    <row r="401" spans="8:14" ht="14.25" customHeight="1">
      <c r="H401" s="20"/>
      <c r="M401" s="23"/>
      <c r="N401" s="23"/>
    </row>
    <row r="402" spans="8:14" ht="14.25" customHeight="1">
      <c r="H402" s="20"/>
      <c r="M402" s="23"/>
      <c r="N402" s="23"/>
    </row>
    <row r="403" spans="8:14" ht="14.25" customHeight="1">
      <c r="H403" s="20"/>
      <c r="M403" s="23"/>
      <c r="N403" s="23"/>
    </row>
    <row r="404" spans="8:14" ht="14.25" customHeight="1">
      <c r="H404" s="20"/>
      <c r="M404" s="23"/>
      <c r="N404" s="23"/>
    </row>
    <row r="405" spans="8:14" ht="14.25" customHeight="1">
      <c r="H405" s="20"/>
      <c r="M405" s="23"/>
      <c r="N405" s="23"/>
    </row>
    <row r="406" spans="8:14" ht="14.25" customHeight="1">
      <c r="H406" s="20"/>
      <c r="M406" s="23"/>
      <c r="N406" s="23"/>
    </row>
    <row r="407" spans="8:14" ht="14.25" customHeight="1">
      <c r="H407" s="20"/>
      <c r="M407" s="23"/>
      <c r="N407" s="23"/>
    </row>
    <row r="408" spans="8:14" ht="14.25" customHeight="1">
      <c r="H408" s="20"/>
      <c r="M408" s="23"/>
      <c r="N408" s="23"/>
    </row>
    <row r="409" spans="8:14" ht="14.25" customHeight="1">
      <c r="H409" s="20"/>
      <c r="M409" s="23"/>
      <c r="N409" s="23"/>
    </row>
    <row r="410" spans="8:14" ht="14.25" customHeight="1">
      <c r="H410" s="20"/>
      <c r="M410" s="23"/>
      <c r="N410" s="23"/>
    </row>
    <row r="411" spans="8:14" ht="14.25" customHeight="1">
      <c r="H411" s="20"/>
      <c r="M411" s="23"/>
      <c r="N411" s="23"/>
    </row>
    <row r="412" spans="8:14" ht="14.25" customHeight="1">
      <c r="H412" s="20"/>
      <c r="M412" s="23"/>
      <c r="N412" s="23"/>
    </row>
    <row r="413" spans="8:14" ht="14.25" customHeight="1">
      <c r="H413" s="20"/>
      <c r="M413" s="23"/>
      <c r="N413" s="23"/>
    </row>
    <row r="414" spans="8:14" ht="14.25" customHeight="1">
      <c r="H414" s="20"/>
      <c r="M414" s="23"/>
      <c r="N414" s="23"/>
    </row>
    <row r="415" spans="8:14" ht="14.25" customHeight="1">
      <c r="H415" s="20"/>
      <c r="M415" s="23"/>
      <c r="N415" s="23"/>
    </row>
    <row r="416" spans="8:14" ht="14.25" customHeight="1">
      <c r="H416" s="20"/>
      <c r="M416" s="23"/>
      <c r="N416" s="23"/>
    </row>
    <row r="417" spans="8:14" ht="14.25" customHeight="1">
      <c r="H417" s="20"/>
      <c r="M417" s="23"/>
      <c r="N417" s="23"/>
    </row>
    <row r="418" spans="8:14" ht="14.25" customHeight="1">
      <c r="H418" s="20"/>
      <c r="M418" s="23"/>
      <c r="N418" s="23"/>
    </row>
    <row r="419" spans="8:14" ht="14.25" customHeight="1">
      <c r="H419" s="20"/>
      <c r="M419" s="23"/>
      <c r="N419" s="23"/>
    </row>
    <row r="420" spans="8:14" ht="14.25" customHeight="1">
      <c r="H420" s="20"/>
      <c r="M420" s="23"/>
      <c r="N420" s="23"/>
    </row>
    <row r="421" spans="8:14" ht="14.25" customHeight="1">
      <c r="H421" s="20"/>
      <c r="M421" s="23"/>
      <c r="N421" s="23"/>
    </row>
    <row r="422" spans="8:14" ht="14.25" customHeight="1">
      <c r="H422" s="20"/>
      <c r="M422" s="23"/>
      <c r="N422" s="23"/>
    </row>
    <row r="423" spans="8:14" ht="14.25" customHeight="1">
      <c r="H423" s="20"/>
      <c r="M423" s="23"/>
      <c r="N423" s="23"/>
    </row>
    <row r="424" spans="8:14" ht="14.25" customHeight="1">
      <c r="H424" s="20"/>
      <c r="M424" s="23"/>
      <c r="N424" s="23"/>
    </row>
    <row r="425" spans="8:14" ht="14.25" customHeight="1">
      <c r="H425" s="20"/>
      <c r="M425" s="23"/>
      <c r="N425" s="23"/>
    </row>
    <row r="426" spans="8:14" ht="14.25" customHeight="1">
      <c r="H426" s="20"/>
      <c r="M426" s="23"/>
      <c r="N426" s="23"/>
    </row>
    <row r="427" spans="8:14" ht="14.25" customHeight="1">
      <c r="H427" s="20"/>
      <c r="M427" s="23"/>
      <c r="N427" s="23"/>
    </row>
    <row r="428" spans="8:14" ht="14.25" customHeight="1">
      <c r="H428" s="20"/>
      <c r="M428" s="23"/>
      <c r="N428" s="23"/>
    </row>
    <row r="429" spans="8:14" ht="14.25" customHeight="1">
      <c r="H429" s="20"/>
      <c r="M429" s="23"/>
      <c r="N429" s="23"/>
    </row>
    <row r="430" spans="8:14" ht="14.25" customHeight="1">
      <c r="H430" s="20"/>
      <c r="M430" s="23"/>
      <c r="N430" s="23"/>
    </row>
    <row r="431" spans="8:14" ht="14.25" customHeight="1">
      <c r="H431" s="20"/>
      <c r="M431" s="23"/>
      <c r="N431" s="23"/>
    </row>
    <row r="432" spans="8:14" ht="14.25" customHeight="1">
      <c r="H432" s="20"/>
      <c r="M432" s="23"/>
      <c r="N432" s="23"/>
    </row>
    <row r="433" spans="8:14" ht="14.25" customHeight="1">
      <c r="H433" s="20"/>
      <c r="M433" s="23"/>
      <c r="N433" s="23"/>
    </row>
    <row r="434" spans="8:14" ht="14.25" customHeight="1">
      <c r="H434" s="20"/>
      <c r="M434" s="23"/>
      <c r="N434" s="23"/>
    </row>
    <row r="435" spans="8:14" ht="14.25" customHeight="1">
      <c r="H435" s="20"/>
      <c r="M435" s="23"/>
      <c r="N435" s="23"/>
    </row>
    <row r="436" spans="8:14" ht="14.25" customHeight="1">
      <c r="H436" s="20"/>
      <c r="M436" s="23"/>
      <c r="N436" s="23"/>
    </row>
    <row r="437" spans="8:14" ht="14.25" customHeight="1">
      <c r="H437" s="20"/>
      <c r="M437" s="23"/>
      <c r="N437" s="23"/>
    </row>
    <row r="438" spans="8:14" ht="14.25" customHeight="1">
      <c r="H438" s="20"/>
      <c r="M438" s="23"/>
      <c r="N438" s="23"/>
    </row>
    <row r="439" spans="8:14" ht="14.25" customHeight="1">
      <c r="H439" s="20"/>
      <c r="M439" s="23"/>
      <c r="N439" s="23"/>
    </row>
    <row r="440" spans="8:14" ht="14.25" customHeight="1">
      <c r="H440" s="20"/>
      <c r="M440" s="23"/>
      <c r="N440" s="23"/>
    </row>
    <row r="441" spans="8:14" ht="14.25" customHeight="1">
      <c r="H441" s="20"/>
      <c r="M441" s="23"/>
      <c r="N441" s="23"/>
    </row>
    <row r="442" spans="8:14" ht="14.25" customHeight="1">
      <c r="H442" s="20"/>
      <c r="M442" s="23"/>
      <c r="N442" s="23"/>
    </row>
    <row r="443" spans="8:14" ht="14.25" customHeight="1">
      <c r="H443" s="20"/>
      <c r="M443" s="23"/>
      <c r="N443" s="23"/>
    </row>
    <row r="444" spans="8:14" ht="14.25" customHeight="1">
      <c r="H444" s="20"/>
      <c r="M444" s="23"/>
      <c r="N444" s="23"/>
    </row>
    <row r="445" spans="8:14" ht="14.25" customHeight="1">
      <c r="H445" s="20"/>
      <c r="M445" s="23"/>
      <c r="N445" s="23"/>
    </row>
    <row r="446" spans="8:14" ht="14.25" customHeight="1">
      <c r="H446" s="20"/>
      <c r="M446" s="23"/>
      <c r="N446" s="23"/>
    </row>
    <row r="447" spans="8:14" ht="14.25" customHeight="1">
      <c r="H447" s="20"/>
      <c r="M447" s="23"/>
      <c r="N447" s="23"/>
    </row>
    <row r="448" spans="8:14" ht="14.25" customHeight="1">
      <c r="H448" s="20"/>
      <c r="M448" s="23"/>
      <c r="N448" s="23"/>
    </row>
    <row r="449" spans="8:14" ht="14.25" customHeight="1">
      <c r="H449" s="20"/>
      <c r="M449" s="23"/>
      <c r="N449" s="23"/>
    </row>
    <row r="450" spans="8:14" ht="14.25" customHeight="1">
      <c r="H450" s="20"/>
      <c r="M450" s="23"/>
      <c r="N450" s="23"/>
    </row>
    <row r="451" spans="8:14" ht="14.25" customHeight="1">
      <c r="H451" s="20"/>
      <c r="M451" s="23"/>
      <c r="N451" s="23"/>
    </row>
    <row r="452" spans="8:14" ht="14.25" customHeight="1">
      <c r="H452" s="20"/>
      <c r="M452" s="23"/>
      <c r="N452" s="23"/>
    </row>
    <row r="453" spans="8:14" ht="14.25" customHeight="1">
      <c r="H453" s="20"/>
      <c r="M453" s="23"/>
      <c r="N453" s="23"/>
    </row>
    <row r="454" spans="8:14" ht="14.25" customHeight="1">
      <c r="H454" s="20"/>
      <c r="M454" s="23"/>
      <c r="N454" s="23"/>
    </row>
    <row r="455" spans="8:14" ht="14.25" customHeight="1">
      <c r="H455" s="20"/>
      <c r="M455" s="23"/>
      <c r="N455" s="23"/>
    </row>
    <row r="456" spans="8:14" ht="14.25" customHeight="1">
      <c r="H456" s="20"/>
      <c r="M456" s="23"/>
      <c r="N456" s="23"/>
    </row>
    <row r="457" spans="8:14" ht="14.25" customHeight="1">
      <c r="H457" s="20"/>
      <c r="M457" s="23"/>
      <c r="N457" s="23"/>
    </row>
    <row r="458" spans="8:14" ht="14.25" customHeight="1">
      <c r="H458" s="20"/>
      <c r="M458" s="23"/>
      <c r="N458" s="23"/>
    </row>
    <row r="459" spans="8:14" ht="14.25" customHeight="1">
      <c r="H459" s="20"/>
      <c r="M459" s="23"/>
      <c r="N459" s="23"/>
    </row>
    <row r="460" spans="8:14" ht="14.25" customHeight="1">
      <c r="H460" s="20"/>
      <c r="M460" s="23"/>
      <c r="N460" s="23"/>
    </row>
    <row r="461" spans="8:14" ht="14.25" customHeight="1">
      <c r="H461" s="20"/>
      <c r="M461" s="23"/>
      <c r="N461" s="23"/>
    </row>
    <row r="462" spans="8:14" ht="14.25" customHeight="1">
      <c r="H462" s="20"/>
      <c r="M462" s="23"/>
      <c r="N462" s="23"/>
    </row>
    <row r="463" spans="8:14" ht="14.25" customHeight="1">
      <c r="H463" s="20"/>
      <c r="M463" s="23"/>
      <c r="N463" s="23"/>
    </row>
    <row r="464" spans="8:14" ht="14.25" customHeight="1">
      <c r="H464" s="20"/>
      <c r="M464" s="23"/>
      <c r="N464" s="23"/>
    </row>
    <row r="465" spans="8:14" ht="14.25" customHeight="1">
      <c r="H465" s="20"/>
      <c r="M465" s="23"/>
      <c r="N465" s="23"/>
    </row>
    <row r="466" spans="8:14" ht="14.25" customHeight="1">
      <c r="H466" s="20"/>
      <c r="M466" s="23"/>
      <c r="N466" s="23"/>
    </row>
    <row r="467" spans="8:14" ht="14.25" customHeight="1">
      <c r="H467" s="20"/>
      <c r="M467" s="23"/>
      <c r="N467" s="23"/>
    </row>
    <row r="468" spans="8:14" ht="14.25" customHeight="1">
      <c r="H468" s="20"/>
      <c r="M468" s="23"/>
      <c r="N468" s="23"/>
    </row>
    <row r="469" spans="8:14" ht="14.25" customHeight="1">
      <c r="H469" s="20"/>
      <c r="M469" s="23"/>
      <c r="N469" s="23"/>
    </row>
    <row r="470" spans="8:14" ht="14.25" customHeight="1">
      <c r="H470" s="20"/>
      <c r="M470" s="23"/>
      <c r="N470" s="23"/>
    </row>
    <row r="471" spans="8:14" ht="14.25" customHeight="1">
      <c r="H471" s="20"/>
      <c r="M471" s="23"/>
      <c r="N471" s="23"/>
    </row>
    <row r="472" spans="8:14" ht="14.25" customHeight="1">
      <c r="H472" s="20"/>
      <c r="M472" s="23"/>
      <c r="N472" s="23"/>
    </row>
    <row r="473" spans="8:14" ht="14.25" customHeight="1">
      <c r="H473" s="20"/>
      <c r="M473" s="23"/>
      <c r="N473" s="23"/>
    </row>
    <row r="474" spans="8:14" ht="14.25" customHeight="1">
      <c r="H474" s="20"/>
      <c r="M474" s="23"/>
      <c r="N474" s="23"/>
    </row>
    <row r="475" spans="8:14" ht="14.25" customHeight="1">
      <c r="H475" s="20"/>
      <c r="M475" s="23"/>
      <c r="N475" s="23"/>
    </row>
    <row r="476" spans="8:14" ht="14.25" customHeight="1">
      <c r="H476" s="20"/>
      <c r="M476" s="23"/>
      <c r="N476" s="23"/>
    </row>
    <row r="477" spans="8:14" ht="14.25" customHeight="1">
      <c r="H477" s="20"/>
      <c r="M477" s="23"/>
      <c r="N477" s="23"/>
    </row>
    <row r="478" spans="8:14" ht="14.25" customHeight="1">
      <c r="H478" s="20"/>
      <c r="M478" s="23"/>
      <c r="N478" s="23"/>
    </row>
    <row r="479" spans="8:14" ht="14.25" customHeight="1">
      <c r="H479" s="20"/>
      <c r="M479" s="23"/>
      <c r="N479" s="23"/>
    </row>
    <row r="480" spans="8:14" ht="14.25" customHeight="1">
      <c r="H480" s="20"/>
      <c r="M480" s="23"/>
      <c r="N480" s="23"/>
    </row>
    <row r="481" spans="8:14" ht="14.25" customHeight="1">
      <c r="H481" s="20"/>
      <c r="M481" s="23"/>
      <c r="N481" s="23"/>
    </row>
    <row r="482" spans="8:14" ht="14.25" customHeight="1">
      <c r="H482" s="20"/>
      <c r="M482" s="23"/>
      <c r="N482" s="23"/>
    </row>
    <row r="483" spans="8:14" ht="14.25" customHeight="1">
      <c r="H483" s="20"/>
      <c r="M483" s="23"/>
      <c r="N483" s="23"/>
    </row>
    <row r="484" spans="8:14" ht="14.25" customHeight="1">
      <c r="H484" s="20"/>
      <c r="M484" s="23"/>
      <c r="N484" s="23"/>
    </row>
    <row r="485" spans="8:14" ht="14.25" customHeight="1">
      <c r="H485" s="20"/>
      <c r="M485" s="23"/>
      <c r="N485" s="23"/>
    </row>
    <row r="486" spans="8:14" ht="14.25" customHeight="1">
      <c r="H486" s="20"/>
      <c r="M486" s="23"/>
      <c r="N486" s="23"/>
    </row>
    <row r="487" spans="8:14" ht="14.25" customHeight="1">
      <c r="H487" s="20"/>
      <c r="M487" s="23"/>
      <c r="N487" s="23"/>
    </row>
    <row r="488" spans="8:14" ht="14.25" customHeight="1">
      <c r="H488" s="20"/>
      <c r="M488" s="23"/>
      <c r="N488" s="23"/>
    </row>
    <row r="489" spans="8:14" ht="14.25" customHeight="1">
      <c r="H489" s="20"/>
      <c r="M489" s="23"/>
      <c r="N489" s="23"/>
    </row>
    <row r="490" spans="8:14" ht="14.25" customHeight="1">
      <c r="H490" s="20"/>
      <c r="M490" s="23"/>
      <c r="N490" s="23"/>
    </row>
    <row r="491" spans="8:14" ht="14.25" customHeight="1">
      <c r="H491" s="20"/>
      <c r="M491" s="23"/>
      <c r="N491" s="23"/>
    </row>
    <row r="492" spans="8:14" ht="14.25" customHeight="1">
      <c r="H492" s="20"/>
      <c r="M492" s="23"/>
      <c r="N492" s="23"/>
    </row>
    <row r="493" spans="8:14" ht="14.25" customHeight="1">
      <c r="H493" s="20"/>
      <c r="M493" s="23"/>
      <c r="N493" s="23"/>
    </row>
    <row r="494" spans="8:14" ht="14.25" customHeight="1">
      <c r="H494" s="20"/>
      <c r="M494" s="23"/>
      <c r="N494" s="23"/>
    </row>
    <row r="495" spans="8:14" ht="14.25" customHeight="1">
      <c r="H495" s="20"/>
      <c r="M495" s="23"/>
      <c r="N495" s="23"/>
    </row>
    <row r="496" spans="8:14" ht="14.25" customHeight="1">
      <c r="H496" s="20"/>
      <c r="M496" s="23"/>
      <c r="N496" s="23"/>
    </row>
    <row r="497" spans="8:14" ht="14.25" customHeight="1">
      <c r="H497" s="20"/>
      <c r="M497" s="23"/>
      <c r="N497" s="23"/>
    </row>
    <row r="498" spans="8:14" ht="14.25" customHeight="1">
      <c r="H498" s="20"/>
      <c r="M498" s="23"/>
      <c r="N498" s="23"/>
    </row>
    <row r="499" spans="8:14" ht="14.25" customHeight="1">
      <c r="H499" s="20"/>
      <c r="M499" s="23"/>
      <c r="N499" s="23"/>
    </row>
    <row r="500" spans="8:14" ht="14.25" customHeight="1">
      <c r="H500" s="20"/>
      <c r="M500" s="23"/>
      <c r="N500" s="23"/>
    </row>
    <row r="501" spans="8:14" ht="14.25" customHeight="1">
      <c r="H501" s="20"/>
      <c r="M501" s="23"/>
      <c r="N501" s="23"/>
    </row>
    <row r="502" spans="8:14" ht="14.25" customHeight="1">
      <c r="H502" s="20"/>
      <c r="M502" s="23"/>
      <c r="N502" s="23"/>
    </row>
    <row r="503" spans="8:14" ht="14.25" customHeight="1">
      <c r="H503" s="20"/>
      <c r="M503" s="23"/>
      <c r="N503" s="23"/>
    </row>
    <row r="504" spans="8:14" ht="14.25" customHeight="1">
      <c r="H504" s="20"/>
      <c r="M504" s="23"/>
      <c r="N504" s="23"/>
    </row>
    <row r="505" spans="8:14" ht="14.25" customHeight="1">
      <c r="H505" s="20"/>
      <c r="M505" s="23"/>
      <c r="N505" s="23"/>
    </row>
    <row r="506" spans="8:14" ht="14.25" customHeight="1">
      <c r="H506" s="20"/>
      <c r="M506" s="23"/>
      <c r="N506" s="23"/>
    </row>
    <row r="507" spans="8:14" ht="14.25" customHeight="1">
      <c r="H507" s="20"/>
      <c r="M507" s="23"/>
      <c r="N507" s="23"/>
    </row>
    <row r="508" spans="8:14" ht="14.25" customHeight="1">
      <c r="H508" s="20"/>
      <c r="M508" s="23"/>
      <c r="N508" s="23"/>
    </row>
    <row r="509" spans="8:14" ht="14.25" customHeight="1">
      <c r="H509" s="20"/>
      <c r="M509" s="23"/>
      <c r="N509" s="23"/>
    </row>
    <row r="510" spans="8:14" ht="14.25" customHeight="1">
      <c r="H510" s="20"/>
      <c r="M510" s="23"/>
      <c r="N510" s="23"/>
    </row>
    <row r="511" spans="8:14" ht="14.25" customHeight="1">
      <c r="H511" s="20"/>
      <c r="M511" s="23"/>
      <c r="N511" s="23"/>
    </row>
    <row r="512" spans="8:14" ht="14.25" customHeight="1">
      <c r="H512" s="20"/>
      <c r="M512" s="23"/>
      <c r="N512" s="23"/>
    </row>
    <row r="513" spans="8:14" ht="14.25" customHeight="1">
      <c r="H513" s="20"/>
      <c r="M513" s="23"/>
      <c r="N513" s="23"/>
    </row>
    <row r="514" spans="8:14" ht="14.25" customHeight="1">
      <c r="H514" s="20"/>
      <c r="M514" s="23"/>
      <c r="N514" s="23"/>
    </row>
    <row r="515" spans="8:14" ht="14.25" customHeight="1">
      <c r="H515" s="20"/>
      <c r="M515" s="23"/>
      <c r="N515" s="23"/>
    </row>
    <row r="516" spans="8:14" ht="14.25" customHeight="1">
      <c r="H516" s="20"/>
      <c r="M516" s="23"/>
      <c r="N516" s="23"/>
    </row>
    <row r="517" spans="8:14" ht="14.25" customHeight="1">
      <c r="H517" s="20"/>
      <c r="M517" s="23"/>
      <c r="N517" s="23"/>
    </row>
    <row r="518" spans="8:14" ht="14.25" customHeight="1">
      <c r="H518" s="20"/>
      <c r="M518" s="23"/>
      <c r="N518" s="23"/>
    </row>
    <row r="519" spans="8:14" ht="14.25" customHeight="1">
      <c r="H519" s="20"/>
      <c r="M519" s="23"/>
      <c r="N519" s="23"/>
    </row>
    <row r="520" spans="8:14" ht="14.25" customHeight="1">
      <c r="H520" s="20"/>
      <c r="M520" s="23"/>
      <c r="N520" s="23"/>
    </row>
    <row r="521" spans="8:14" ht="14.25" customHeight="1">
      <c r="H521" s="20"/>
      <c r="M521" s="23"/>
      <c r="N521" s="23"/>
    </row>
    <row r="522" spans="8:14" ht="14.25" customHeight="1">
      <c r="H522" s="20"/>
      <c r="M522" s="23"/>
      <c r="N522" s="23"/>
    </row>
    <row r="523" spans="8:14" ht="14.25" customHeight="1">
      <c r="H523" s="20"/>
      <c r="M523" s="23"/>
      <c r="N523" s="23"/>
    </row>
    <row r="524" spans="8:14" ht="14.25" customHeight="1">
      <c r="H524" s="20"/>
      <c r="M524" s="23"/>
      <c r="N524" s="23"/>
    </row>
    <row r="525" spans="8:14" ht="14.25" customHeight="1">
      <c r="H525" s="20"/>
      <c r="M525" s="23"/>
      <c r="N525" s="23"/>
    </row>
    <row r="526" spans="8:14" ht="14.25" customHeight="1">
      <c r="H526" s="20"/>
      <c r="M526" s="23"/>
      <c r="N526" s="23"/>
    </row>
    <row r="527" spans="8:14" ht="14.25" customHeight="1">
      <c r="H527" s="20"/>
      <c r="M527" s="23"/>
      <c r="N527" s="23"/>
    </row>
    <row r="528" spans="8:14" ht="14.25" customHeight="1">
      <c r="H528" s="20"/>
      <c r="M528" s="23"/>
      <c r="N528" s="23"/>
    </row>
    <row r="529" spans="8:14" ht="14.25" customHeight="1">
      <c r="H529" s="20"/>
      <c r="M529" s="23"/>
      <c r="N529" s="23"/>
    </row>
    <row r="530" spans="8:14" ht="14.25" customHeight="1">
      <c r="H530" s="20"/>
      <c r="M530" s="23"/>
      <c r="N530" s="23"/>
    </row>
    <row r="531" spans="8:14" ht="14.25" customHeight="1">
      <c r="H531" s="20"/>
      <c r="M531" s="23"/>
      <c r="N531" s="23"/>
    </row>
    <row r="532" spans="8:14" ht="14.25" customHeight="1">
      <c r="H532" s="20"/>
      <c r="M532" s="23"/>
      <c r="N532" s="23"/>
    </row>
    <row r="533" spans="8:14" ht="14.25" customHeight="1">
      <c r="H533" s="20"/>
      <c r="M533" s="23"/>
      <c r="N533" s="23"/>
    </row>
    <row r="534" spans="8:14" ht="14.25" customHeight="1">
      <c r="H534" s="20"/>
      <c r="M534" s="23"/>
      <c r="N534" s="23"/>
    </row>
    <row r="535" spans="8:14" ht="14.25" customHeight="1">
      <c r="H535" s="20"/>
      <c r="M535" s="23"/>
      <c r="N535" s="23"/>
    </row>
    <row r="536" spans="8:14" ht="14.25" customHeight="1">
      <c r="H536" s="20"/>
      <c r="M536" s="23"/>
      <c r="N536" s="23"/>
    </row>
    <row r="537" spans="8:14" ht="14.25" customHeight="1">
      <c r="H537" s="20"/>
      <c r="M537" s="23"/>
      <c r="N537" s="23"/>
    </row>
    <row r="538" spans="8:14" ht="14.25" customHeight="1">
      <c r="H538" s="20"/>
      <c r="M538" s="23"/>
      <c r="N538" s="23"/>
    </row>
    <row r="539" spans="8:14" ht="14.25" customHeight="1">
      <c r="H539" s="20"/>
      <c r="M539" s="23"/>
      <c r="N539" s="23"/>
    </row>
    <row r="540" spans="8:14" ht="14.25" customHeight="1">
      <c r="H540" s="20"/>
      <c r="M540" s="23"/>
      <c r="N540" s="23"/>
    </row>
    <row r="541" spans="8:14" ht="14.25" customHeight="1">
      <c r="H541" s="20"/>
      <c r="M541" s="23"/>
      <c r="N541" s="23"/>
    </row>
    <row r="542" spans="8:14" ht="14.25" customHeight="1">
      <c r="H542" s="20"/>
      <c r="M542" s="23"/>
      <c r="N542" s="23"/>
    </row>
    <row r="543" spans="8:14" ht="14.25" customHeight="1">
      <c r="H543" s="20"/>
      <c r="M543" s="23"/>
      <c r="N543" s="23"/>
    </row>
    <row r="544" spans="8:14" ht="14.25" customHeight="1">
      <c r="H544" s="20"/>
      <c r="M544" s="23"/>
      <c r="N544" s="23"/>
    </row>
    <row r="545" spans="8:14" ht="14.25" customHeight="1">
      <c r="H545" s="20"/>
      <c r="M545" s="23"/>
      <c r="N545" s="23"/>
    </row>
    <row r="546" spans="8:14" ht="14.25" customHeight="1">
      <c r="H546" s="20"/>
      <c r="M546" s="23"/>
      <c r="N546" s="23"/>
    </row>
    <row r="547" spans="8:14" ht="14.25" customHeight="1">
      <c r="H547" s="20"/>
      <c r="M547" s="23"/>
      <c r="N547" s="23"/>
    </row>
    <row r="548" spans="8:14" ht="14.25" customHeight="1">
      <c r="H548" s="20"/>
      <c r="M548" s="23"/>
      <c r="N548" s="23"/>
    </row>
    <row r="549" spans="8:14" ht="14.25" customHeight="1">
      <c r="H549" s="20"/>
      <c r="M549" s="23"/>
      <c r="N549" s="23"/>
    </row>
    <row r="550" spans="8:14" ht="14.25" customHeight="1">
      <c r="H550" s="20"/>
      <c r="M550" s="23"/>
      <c r="N550" s="23"/>
    </row>
    <row r="551" spans="8:14" ht="14.25" customHeight="1">
      <c r="H551" s="20"/>
      <c r="M551" s="23"/>
      <c r="N551" s="23"/>
    </row>
    <row r="552" spans="8:14" ht="14.25" customHeight="1">
      <c r="H552" s="20"/>
      <c r="M552" s="23"/>
      <c r="N552" s="23"/>
    </row>
    <row r="553" spans="8:14" ht="14.25" customHeight="1">
      <c r="H553" s="20"/>
      <c r="M553" s="23"/>
      <c r="N553" s="23"/>
    </row>
    <row r="554" spans="8:14" ht="14.25" customHeight="1">
      <c r="H554" s="20"/>
      <c r="M554" s="23"/>
      <c r="N554" s="23"/>
    </row>
    <row r="555" spans="8:14" ht="14.25" customHeight="1">
      <c r="H555" s="20"/>
      <c r="M555" s="23"/>
      <c r="N555" s="23"/>
    </row>
    <row r="556" spans="8:14" ht="14.25" customHeight="1">
      <c r="H556" s="20"/>
      <c r="M556" s="23"/>
      <c r="N556" s="23"/>
    </row>
    <row r="557" spans="8:14" ht="14.25" customHeight="1">
      <c r="H557" s="20"/>
      <c r="M557" s="23"/>
      <c r="N557" s="23"/>
    </row>
    <row r="558" spans="8:14" ht="14.25" customHeight="1">
      <c r="H558" s="20"/>
      <c r="M558" s="23"/>
      <c r="N558" s="23"/>
    </row>
    <row r="559" spans="8:14" ht="14.25" customHeight="1">
      <c r="H559" s="20"/>
      <c r="M559" s="23"/>
      <c r="N559" s="23"/>
    </row>
    <row r="560" spans="8:14" ht="14.25" customHeight="1">
      <c r="H560" s="20"/>
      <c r="M560" s="23"/>
      <c r="N560" s="23"/>
    </row>
    <row r="561" spans="8:14" ht="14.25" customHeight="1">
      <c r="H561" s="20"/>
      <c r="M561" s="23"/>
      <c r="N561" s="23"/>
    </row>
    <row r="562" spans="8:14" ht="14.25" customHeight="1">
      <c r="H562" s="20"/>
      <c r="M562" s="23"/>
      <c r="N562" s="23"/>
    </row>
    <row r="563" spans="8:14" ht="14.25" customHeight="1">
      <c r="H563" s="20"/>
      <c r="M563" s="23"/>
      <c r="N563" s="23"/>
    </row>
    <row r="564" spans="8:14" ht="14.25" customHeight="1">
      <c r="H564" s="20"/>
      <c r="M564" s="23"/>
      <c r="N564" s="23"/>
    </row>
    <row r="565" spans="8:14" ht="14.25" customHeight="1">
      <c r="H565" s="20"/>
      <c r="M565" s="23"/>
      <c r="N565" s="23"/>
    </row>
    <row r="566" spans="8:14" ht="14.25" customHeight="1">
      <c r="H566" s="20"/>
      <c r="M566" s="23"/>
      <c r="N566" s="23"/>
    </row>
    <row r="567" spans="8:14" ht="14.25" customHeight="1">
      <c r="H567" s="20"/>
      <c r="M567" s="23"/>
      <c r="N567" s="23"/>
    </row>
    <row r="568" spans="8:14" ht="14.25" customHeight="1">
      <c r="H568" s="20"/>
      <c r="M568" s="23"/>
      <c r="N568" s="23"/>
    </row>
    <row r="569" spans="8:14" ht="14.25" customHeight="1">
      <c r="H569" s="20"/>
      <c r="M569" s="23"/>
      <c r="N569" s="23"/>
    </row>
    <row r="570" spans="8:14" ht="14.25" customHeight="1">
      <c r="H570" s="20"/>
      <c r="M570" s="23"/>
      <c r="N570" s="23"/>
    </row>
    <row r="571" spans="8:14" ht="14.25" customHeight="1">
      <c r="H571" s="20"/>
      <c r="M571" s="23"/>
      <c r="N571" s="23"/>
    </row>
    <row r="572" spans="8:14" ht="14.25" customHeight="1">
      <c r="H572" s="20"/>
      <c r="M572" s="23"/>
      <c r="N572" s="23"/>
    </row>
    <row r="573" spans="8:14" ht="14.25" customHeight="1">
      <c r="H573" s="20"/>
      <c r="M573" s="23"/>
      <c r="N573" s="23"/>
    </row>
    <row r="574" spans="8:14" ht="14.25" customHeight="1">
      <c r="H574" s="20"/>
      <c r="M574" s="23"/>
      <c r="N574" s="23"/>
    </row>
    <row r="575" spans="8:14" ht="14.25" customHeight="1">
      <c r="H575" s="20"/>
      <c r="M575" s="23"/>
      <c r="N575" s="23"/>
    </row>
    <row r="576" spans="8:14" ht="14.25" customHeight="1">
      <c r="H576" s="20"/>
      <c r="M576" s="23"/>
      <c r="N576" s="23"/>
    </row>
    <row r="577" spans="8:14" ht="14.25" customHeight="1">
      <c r="H577" s="20"/>
      <c r="M577" s="23"/>
      <c r="N577" s="23"/>
    </row>
    <row r="578" spans="8:14" ht="14.25" customHeight="1">
      <c r="H578" s="20"/>
      <c r="M578" s="23"/>
      <c r="N578" s="23"/>
    </row>
    <row r="579" spans="8:14" ht="14.25" customHeight="1">
      <c r="H579" s="20"/>
      <c r="M579" s="23"/>
      <c r="N579" s="23"/>
    </row>
    <row r="580" spans="8:14" ht="14.25" customHeight="1">
      <c r="H580" s="20"/>
      <c r="M580" s="23"/>
      <c r="N580" s="23"/>
    </row>
    <row r="581" spans="8:14" ht="14.25" customHeight="1">
      <c r="H581" s="20"/>
      <c r="M581" s="23"/>
      <c r="N581" s="23"/>
    </row>
    <row r="582" spans="8:14" ht="14.25" customHeight="1">
      <c r="H582" s="20"/>
      <c r="M582" s="23"/>
      <c r="N582" s="23"/>
    </row>
    <row r="583" spans="8:14" ht="14.25" customHeight="1">
      <c r="H583" s="20"/>
      <c r="M583" s="23"/>
      <c r="N583" s="23"/>
    </row>
    <row r="584" spans="8:14" ht="14.25" customHeight="1">
      <c r="H584" s="20"/>
      <c r="M584" s="23"/>
      <c r="N584" s="23"/>
    </row>
    <row r="585" spans="8:14" ht="14.25" customHeight="1">
      <c r="H585" s="20"/>
      <c r="M585" s="23"/>
      <c r="N585" s="23"/>
    </row>
    <row r="586" spans="8:14" ht="14.25" customHeight="1">
      <c r="H586" s="20"/>
      <c r="M586" s="23"/>
      <c r="N586" s="23"/>
    </row>
    <row r="587" spans="8:14" ht="14.25" customHeight="1">
      <c r="H587" s="20"/>
      <c r="M587" s="23"/>
      <c r="N587" s="23"/>
    </row>
    <row r="588" spans="8:14" ht="14.25" customHeight="1">
      <c r="H588" s="20"/>
      <c r="M588" s="23"/>
      <c r="N588" s="23"/>
    </row>
    <row r="589" spans="8:14" ht="14.25" customHeight="1">
      <c r="H589" s="20"/>
      <c r="M589" s="23"/>
      <c r="N589" s="23"/>
    </row>
    <row r="590" spans="8:14" ht="14.25" customHeight="1">
      <c r="H590" s="20"/>
      <c r="M590" s="23"/>
      <c r="N590" s="23"/>
    </row>
    <row r="591" spans="8:14" ht="14.25" customHeight="1">
      <c r="H591" s="20"/>
      <c r="M591" s="23"/>
      <c r="N591" s="23"/>
    </row>
    <row r="592" spans="8:14" ht="14.25" customHeight="1">
      <c r="H592" s="20"/>
      <c r="M592" s="23"/>
      <c r="N592" s="23"/>
    </row>
    <row r="593" spans="8:14" ht="14.25" customHeight="1">
      <c r="H593" s="20"/>
      <c r="M593" s="23"/>
      <c r="N593" s="23"/>
    </row>
    <row r="594" spans="8:14" ht="14.25" customHeight="1">
      <c r="H594" s="20"/>
      <c r="M594" s="23"/>
      <c r="N594" s="23"/>
    </row>
    <row r="595" spans="8:14" ht="14.25" customHeight="1">
      <c r="H595" s="20"/>
      <c r="M595" s="23"/>
      <c r="N595" s="23"/>
    </row>
    <row r="596" spans="8:14" ht="14.25" customHeight="1">
      <c r="H596" s="20"/>
      <c r="M596" s="23"/>
      <c r="N596" s="23"/>
    </row>
    <row r="597" spans="8:14" ht="14.25" customHeight="1">
      <c r="H597" s="20"/>
      <c r="M597" s="23"/>
      <c r="N597" s="23"/>
    </row>
    <row r="598" spans="8:14" ht="14.25" customHeight="1">
      <c r="H598" s="20"/>
      <c r="M598" s="23"/>
      <c r="N598" s="23"/>
    </row>
    <row r="599" spans="8:14" ht="14.25" customHeight="1">
      <c r="H599" s="20"/>
      <c r="M599" s="23"/>
      <c r="N599" s="23"/>
    </row>
    <row r="600" spans="8:14" ht="14.25" customHeight="1">
      <c r="H600" s="20"/>
      <c r="M600" s="23"/>
      <c r="N600" s="23"/>
    </row>
    <row r="601" spans="8:14" ht="14.25" customHeight="1">
      <c r="H601" s="20"/>
      <c r="M601" s="23"/>
      <c r="N601" s="23"/>
    </row>
    <row r="602" spans="8:14" ht="14.25" customHeight="1">
      <c r="H602" s="20"/>
      <c r="M602" s="23"/>
      <c r="N602" s="23"/>
    </row>
    <row r="603" spans="8:14" ht="14.25" customHeight="1">
      <c r="H603" s="20"/>
      <c r="M603" s="23"/>
      <c r="N603" s="23"/>
    </row>
    <row r="604" spans="8:14" ht="14.25" customHeight="1">
      <c r="H604" s="20"/>
      <c r="M604" s="23"/>
      <c r="N604" s="23"/>
    </row>
    <row r="605" spans="8:14" ht="14.25" customHeight="1">
      <c r="H605" s="20"/>
      <c r="M605" s="23"/>
      <c r="N605" s="23"/>
    </row>
    <row r="606" spans="8:14" ht="14.25" customHeight="1">
      <c r="H606" s="20"/>
      <c r="M606" s="23"/>
      <c r="N606" s="23"/>
    </row>
    <row r="607" spans="8:14" ht="14.25" customHeight="1">
      <c r="H607" s="20"/>
      <c r="M607" s="23"/>
      <c r="N607" s="23"/>
    </row>
    <row r="608" spans="8:14" ht="14.25" customHeight="1">
      <c r="H608" s="20"/>
      <c r="M608" s="23"/>
      <c r="N608" s="23"/>
    </row>
    <row r="609" spans="8:14" ht="14.25" customHeight="1">
      <c r="H609" s="20"/>
      <c r="M609" s="23"/>
      <c r="N609" s="23"/>
    </row>
    <row r="610" spans="8:14" ht="14.25" customHeight="1">
      <c r="H610" s="20"/>
      <c r="M610" s="23"/>
      <c r="N610" s="23"/>
    </row>
    <row r="611" spans="8:14" ht="14.25" customHeight="1">
      <c r="H611" s="20"/>
      <c r="M611" s="23"/>
      <c r="N611" s="23"/>
    </row>
    <row r="612" spans="8:14" ht="14.25" customHeight="1">
      <c r="H612" s="20"/>
      <c r="M612" s="23"/>
      <c r="N612" s="23"/>
    </row>
    <row r="613" spans="8:14" ht="14.25" customHeight="1">
      <c r="H613" s="20"/>
      <c r="M613" s="23"/>
      <c r="N613" s="23"/>
    </row>
    <row r="614" spans="8:14" ht="14.25" customHeight="1">
      <c r="H614" s="20"/>
      <c r="M614" s="23"/>
      <c r="N614" s="23"/>
    </row>
    <row r="615" spans="8:14" ht="14.25" customHeight="1">
      <c r="H615" s="20"/>
      <c r="M615" s="23"/>
      <c r="N615" s="23"/>
    </row>
    <row r="616" spans="8:14" ht="14.25" customHeight="1">
      <c r="H616" s="20"/>
      <c r="M616" s="23"/>
      <c r="N616" s="23"/>
    </row>
    <row r="617" spans="8:14" ht="14.25" customHeight="1">
      <c r="H617" s="20"/>
      <c r="M617" s="23"/>
      <c r="N617" s="23"/>
    </row>
    <row r="618" spans="8:14" ht="14.25" customHeight="1">
      <c r="H618" s="20"/>
      <c r="M618" s="23"/>
      <c r="N618" s="23"/>
    </row>
    <row r="619" spans="8:14" ht="14.25" customHeight="1">
      <c r="H619" s="20"/>
      <c r="M619" s="23"/>
      <c r="N619" s="23"/>
    </row>
    <row r="620" spans="8:14" ht="14.25" customHeight="1">
      <c r="H620" s="20"/>
      <c r="M620" s="23"/>
      <c r="N620" s="23"/>
    </row>
    <row r="621" spans="8:14" ht="14.25" customHeight="1">
      <c r="H621" s="20"/>
      <c r="M621" s="23"/>
      <c r="N621" s="23"/>
    </row>
    <row r="622" spans="8:14" ht="14.25" customHeight="1">
      <c r="H622" s="20"/>
      <c r="M622" s="23"/>
      <c r="N622" s="23"/>
    </row>
    <row r="623" spans="8:14" ht="14.25" customHeight="1">
      <c r="H623" s="20"/>
      <c r="M623" s="23"/>
      <c r="N623" s="23"/>
    </row>
    <row r="624" spans="8:14" ht="14.25" customHeight="1">
      <c r="H624" s="20"/>
      <c r="M624" s="23"/>
      <c r="N624" s="23"/>
    </row>
    <row r="625" spans="8:14" ht="14.25" customHeight="1">
      <c r="H625" s="20"/>
      <c r="M625" s="23"/>
      <c r="N625" s="23"/>
    </row>
    <row r="626" spans="8:14" ht="14.25" customHeight="1">
      <c r="H626" s="20"/>
      <c r="M626" s="23"/>
      <c r="N626" s="23"/>
    </row>
    <row r="627" spans="8:14" ht="14.25" customHeight="1">
      <c r="H627" s="20"/>
      <c r="M627" s="23"/>
      <c r="N627" s="23"/>
    </row>
    <row r="628" spans="8:14" ht="14.25" customHeight="1">
      <c r="H628" s="20"/>
      <c r="M628" s="23"/>
      <c r="N628" s="23"/>
    </row>
    <row r="629" spans="8:14" ht="14.25" customHeight="1">
      <c r="H629" s="20"/>
      <c r="M629" s="23"/>
      <c r="N629" s="23"/>
    </row>
    <row r="630" spans="8:14" ht="14.25" customHeight="1">
      <c r="H630" s="20"/>
      <c r="M630" s="23"/>
      <c r="N630" s="23"/>
    </row>
    <row r="631" spans="8:14" ht="14.25" customHeight="1">
      <c r="H631" s="20"/>
      <c r="M631" s="23"/>
      <c r="N631" s="23"/>
    </row>
    <row r="632" spans="8:14" ht="14.25" customHeight="1">
      <c r="H632" s="20"/>
      <c r="M632" s="23"/>
      <c r="N632" s="23"/>
    </row>
    <row r="633" spans="8:14" ht="14.25" customHeight="1">
      <c r="H633" s="20"/>
      <c r="M633" s="23"/>
      <c r="N633" s="23"/>
    </row>
    <row r="634" spans="8:14" ht="14.25" customHeight="1">
      <c r="H634" s="20"/>
      <c r="M634" s="23"/>
      <c r="N634" s="23"/>
    </row>
    <row r="635" spans="8:14" ht="14.25" customHeight="1">
      <c r="H635" s="20"/>
      <c r="M635" s="23"/>
      <c r="N635" s="23"/>
    </row>
    <row r="636" spans="8:14" ht="14.25" customHeight="1">
      <c r="H636" s="20"/>
      <c r="M636" s="23"/>
      <c r="N636" s="23"/>
    </row>
    <row r="637" spans="8:14" ht="14.25" customHeight="1">
      <c r="H637" s="20"/>
      <c r="M637" s="23"/>
      <c r="N637" s="23"/>
    </row>
    <row r="638" spans="8:14" ht="14.25" customHeight="1">
      <c r="H638" s="20"/>
      <c r="M638" s="23"/>
      <c r="N638" s="23"/>
    </row>
    <row r="639" spans="8:14" ht="14.25" customHeight="1">
      <c r="H639" s="20"/>
      <c r="M639" s="23"/>
      <c r="N639" s="23"/>
    </row>
    <row r="640" spans="8:14" ht="14.25" customHeight="1">
      <c r="H640" s="20"/>
      <c r="M640" s="23"/>
      <c r="N640" s="23"/>
    </row>
    <row r="641" spans="8:14" ht="14.25" customHeight="1">
      <c r="H641" s="20"/>
      <c r="M641" s="23"/>
      <c r="N641" s="23"/>
    </row>
    <row r="642" spans="8:14" ht="14.25" customHeight="1">
      <c r="H642" s="20"/>
      <c r="M642" s="23"/>
      <c r="N642" s="23"/>
    </row>
    <row r="643" spans="8:14" ht="14.25" customHeight="1">
      <c r="H643" s="20"/>
      <c r="M643" s="23"/>
      <c r="N643" s="23"/>
    </row>
    <row r="644" spans="8:14" ht="14.25" customHeight="1">
      <c r="H644" s="20"/>
      <c r="M644" s="23"/>
      <c r="N644" s="23"/>
    </row>
    <row r="645" spans="8:14" ht="14.25" customHeight="1">
      <c r="H645" s="20"/>
      <c r="M645" s="23"/>
      <c r="N645" s="23"/>
    </row>
    <row r="646" spans="8:14" ht="14.25" customHeight="1">
      <c r="H646" s="20"/>
      <c r="M646" s="23"/>
      <c r="N646" s="23"/>
    </row>
    <row r="647" spans="8:14" ht="14.25" customHeight="1">
      <c r="H647" s="20"/>
      <c r="M647" s="23"/>
      <c r="N647" s="23"/>
    </row>
    <row r="648" spans="8:14" ht="14.25" customHeight="1">
      <c r="H648" s="20"/>
      <c r="M648" s="23"/>
      <c r="N648" s="23"/>
    </row>
    <row r="649" spans="8:14" ht="14.25" customHeight="1">
      <c r="H649" s="20"/>
      <c r="M649" s="23"/>
      <c r="N649" s="23"/>
    </row>
    <row r="650" spans="8:14" ht="14.25" customHeight="1">
      <c r="H650" s="20"/>
      <c r="M650" s="23"/>
      <c r="N650" s="23"/>
    </row>
    <row r="651" spans="8:14" ht="14.25" customHeight="1">
      <c r="H651" s="20"/>
      <c r="M651" s="23"/>
      <c r="N651" s="23"/>
    </row>
    <row r="652" spans="8:14" ht="14.25" customHeight="1">
      <c r="H652" s="20"/>
      <c r="M652" s="23"/>
      <c r="N652" s="23"/>
    </row>
    <row r="653" spans="8:14" ht="14.25" customHeight="1">
      <c r="H653" s="20"/>
      <c r="M653" s="23"/>
      <c r="N653" s="23"/>
    </row>
    <row r="654" spans="8:14" ht="14.25" customHeight="1">
      <c r="H654" s="20"/>
      <c r="M654" s="23"/>
      <c r="N654" s="23"/>
    </row>
    <row r="655" spans="8:14" ht="14.25" customHeight="1">
      <c r="H655" s="20"/>
      <c r="M655" s="23"/>
      <c r="N655" s="23"/>
    </row>
    <row r="656" spans="8:14" ht="14.25" customHeight="1">
      <c r="H656" s="20"/>
      <c r="M656" s="23"/>
      <c r="N656" s="23"/>
    </row>
    <row r="657" spans="8:14" ht="14.25" customHeight="1">
      <c r="H657" s="20"/>
      <c r="M657" s="23"/>
      <c r="N657" s="23"/>
    </row>
    <row r="658" spans="8:14" ht="14.25" customHeight="1">
      <c r="H658" s="20"/>
      <c r="M658" s="23"/>
      <c r="N658" s="23"/>
    </row>
    <row r="659" spans="8:14" ht="14.25" customHeight="1">
      <c r="H659" s="20"/>
      <c r="M659" s="23"/>
      <c r="N659" s="23"/>
    </row>
    <row r="660" spans="8:14" ht="14.25" customHeight="1">
      <c r="H660" s="20"/>
      <c r="M660" s="23"/>
      <c r="N660" s="23"/>
    </row>
    <row r="661" spans="8:14" ht="14.25" customHeight="1">
      <c r="H661" s="20"/>
      <c r="M661" s="23"/>
      <c r="N661" s="23"/>
    </row>
    <row r="662" spans="8:14" ht="14.25" customHeight="1">
      <c r="H662" s="20"/>
      <c r="M662" s="23"/>
      <c r="N662" s="23"/>
    </row>
    <row r="663" spans="8:14" ht="14.25" customHeight="1">
      <c r="H663" s="20"/>
      <c r="M663" s="23"/>
      <c r="N663" s="23"/>
    </row>
    <row r="664" spans="8:14" ht="14.25" customHeight="1">
      <c r="H664" s="20"/>
      <c r="M664" s="23"/>
      <c r="N664" s="23"/>
    </row>
    <row r="665" spans="8:14" ht="14.25" customHeight="1">
      <c r="H665" s="20"/>
      <c r="M665" s="23"/>
      <c r="N665" s="23"/>
    </row>
    <row r="666" spans="8:14" ht="14.25" customHeight="1">
      <c r="H666" s="20"/>
      <c r="M666" s="23"/>
      <c r="N666" s="23"/>
    </row>
    <row r="667" spans="8:14" ht="14.25" customHeight="1">
      <c r="H667" s="20"/>
      <c r="M667" s="23"/>
      <c r="N667" s="23"/>
    </row>
    <row r="668" spans="8:14" ht="14.25" customHeight="1">
      <c r="H668" s="20"/>
      <c r="M668" s="23"/>
      <c r="N668" s="23"/>
    </row>
    <row r="669" spans="8:14" ht="14.25" customHeight="1">
      <c r="H669" s="20"/>
      <c r="M669" s="23"/>
      <c r="N669" s="23"/>
    </row>
    <row r="670" spans="8:14" ht="14.25" customHeight="1">
      <c r="H670" s="20"/>
      <c r="M670" s="23"/>
      <c r="N670" s="23"/>
    </row>
    <row r="671" spans="8:14" ht="14.25" customHeight="1">
      <c r="H671" s="20"/>
      <c r="M671" s="23"/>
      <c r="N671" s="23"/>
    </row>
    <row r="672" spans="8:14" ht="14.25" customHeight="1">
      <c r="H672" s="20"/>
      <c r="M672" s="23"/>
      <c r="N672" s="23"/>
    </row>
    <row r="673" spans="8:14" ht="14.25" customHeight="1">
      <c r="H673" s="20"/>
      <c r="M673" s="23"/>
      <c r="N673" s="23"/>
    </row>
    <row r="674" spans="8:14" ht="14.25" customHeight="1">
      <c r="H674" s="20"/>
      <c r="M674" s="23"/>
      <c r="N674" s="23"/>
    </row>
    <row r="675" spans="8:14" ht="14.25" customHeight="1">
      <c r="H675" s="20"/>
      <c r="M675" s="23"/>
      <c r="N675" s="23"/>
    </row>
    <row r="676" spans="8:14" ht="14.25" customHeight="1">
      <c r="H676" s="20"/>
      <c r="M676" s="23"/>
      <c r="N676" s="23"/>
    </row>
    <row r="677" spans="8:14" ht="14.25" customHeight="1">
      <c r="H677" s="20"/>
      <c r="M677" s="23"/>
      <c r="N677" s="23"/>
    </row>
    <row r="678" spans="8:14" ht="14.25" customHeight="1">
      <c r="H678" s="20"/>
      <c r="M678" s="23"/>
      <c r="N678" s="23"/>
    </row>
    <row r="679" spans="8:14" ht="14.25" customHeight="1">
      <c r="H679" s="20"/>
      <c r="M679" s="23"/>
      <c r="N679" s="23"/>
    </row>
    <row r="680" spans="8:14" ht="14.25" customHeight="1">
      <c r="H680" s="20"/>
      <c r="M680" s="23"/>
      <c r="N680" s="23"/>
    </row>
    <row r="681" spans="8:14" ht="14.25" customHeight="1">
      <c r="H681" s="20"/>
      <c r="M681" s="23"/>
      <c r="N681" s="23"/>
    </row>
    <row r="682" spans="8:14" ht="14.25" customHeight="1">
      <c r="H682" s="20"/>
      <c r="M682" s="23"/>
      <c r="N682" s="23"/>
    </row>
    <row r="683" spans="8:14" ht="14.25" customHeight="1">
      <c r="H683" s="20"/>
      <c r="M683" s="23"/>
      <c r="N683" s="23"/>
    </row>
    <row r="684" spans="8:14" ht="14.25" customHeight="1">
      <c r="H684" s="20"/>
      <c r="M684" s="23"/>
      <c r="N684" s="23"/>
    </row>
    <row r="685" spans="8:14" ht="14.25" customHeight="1">
      <c r="H685" s="20"/>
      <c r="M685" s="23"/>
      <c r="N685" s="23"/>
    </row>
    <row r="686" spans="8:14" ht="14.25" customHeight="1">
      <c r="H686" s="20"/>
      <c r="M686" s="23"/>
      <c r="N686" s="23"/>
    </row>
    <row r="687" spans="8:14" ht="14.25" customHeight="1">
      <c r="H687" s="20"/>
      <c r="M687" s="23"/>
      <c r="N687" s="23"/>
    </row>
    <row r="688" spans="8:14" ht="14.25" customHeight="1">
      <c r="H688" s="20"/>
      <c r="M688" s="23"/>
      <c r="N688" s="23"/>
    </row>
    <row r="689" spans="8:14" ht="14.25" customHeight="1">
      <c r="H689" s="20"/>
      <c r="M689" s="23"/>
      <c r="N689" s="23"/>
    </row>
    <row r="690" spans="8:14" ht="14.25" customHeight="1">
      <c r="H690" s="20"/>
      <c r="M690" s="23"/>
      <c r="N690" s="23"/>
    </row>
    <row r="691" spans="8:14" ht="14.25" customHeight="1">
      <c r="H691" s="20"/>
      <c r="M691" s="23"/>
      <c r="N691" s="23"/>
    </row>
    <row r="692" spans="8:14" ht="14.25" customHeight="1">
      <c r="H692" s="20"/>
      <c r="M692" s="23"/>
      <c r="N692" s="23"/>
    </row>
    <row r="693" spans="8:14" ht="14.25" customHeight="1">
      <c r="H693" s="20"/>
      <c r="M693" s="23"/>
      <c r="N693" s="23"/>
    </row>
    <row r="694" spans="8:14" ht="14.25" customHeight="1">
      <c r="H694" s="20"/>
      <c r="M694" s="23"/>
      <c r="N694" s="23"/>
    </row>
    <row r="695" spans="8:14" ht="14.25" customHeight="1">
      <c r="H695" s="20"/>
      <c r="M695" s="23"/>
      <c r="N695" s="23"/>
    </row>
    <row r="696" spans="8:14" ht="14.25" customHeight="1">
      <c r="H696" s="20"/>
      <c r="M696" s="23"/>
      <c r="N696" s="23"/>
    </row>
    <row r="697" spans="8:14" ht="14.25" customHeight="1">
      <c r="H697" s="20"/>
      <c r="M697" s="23"/>
      <c r="N697" s="23"/>
    </row>
    <row r="698" spans="8:14" ht="14.25" customHeight="1">
      <c r="H698" s="20"/>
      <c r="M698" s="23"/>
      <c r="N698" s="23"/>
    </row>
    <row r="699" spans="8:14" ht="14.25" customHeight="1">
      <c r="H699" s="20"/>
      <c r="M699" s="23"/>
      <c r="N699" s="23"/>
    </row>
    <row r="700" spans="8:14" ht="14.25" customHeight="1">
      <c r="H700" s="20"/>
      <c r="M700" s="23"/>
      <c r="N700" s="23"/>
    </row>
    <row r="701" spans="8:14" ht="14.25" customHeight="1">
      <c r="H701" s="20"/>
      <c r="M701" s="23"/>
      <c r="N701" s="23"/>
    </row>
    <row r="702" spans="8:14" ht="14.25" customHeight="1">
      <c r="H702" s="20"/>
      <c r="M702" s="23"/>
      <c r="N702" s="23"/>
    </row>
    <row r="703" spans="8:14" ht="14.25" customHeight="1">
      <c r="H703" s="20"/>
      <c r="M703" s="23"/>
      <c r="N703" s="23"/>
    </row>
    <row r="704" spans="8:14" ht="14.25" customHeight="1">
      <c r="H704" s="20"/>
      <c r="M704" s="23"/>
      <c r="N704" s="23"/>
    </row>
    <row r="705" spans="8:14" ht="14.25" customHeight="1">
      <c r="H705" s="20"/>
      <c r="M705" s="23"/>
      <c r="N705" s="23"/>
    </row>
    <row r="706" spans="8:14" ht="14.25" customHeight="1">
      <c r="H706" s="20"/>
      <c r="M706" s="23"/>
      <c r="N706" s="23"/>
    </row>
    <row r="707" spans="8:14" ht="14.25" customHeight="1">
      <c r="H707" s="20"/>
      <c r="M707" s="23"/>
      <c r="N707" s="23"/>
    </row>
    <row r="708" spans="8:14" ht="14.25" customHeight="1">
      <c r="H708" s="20"/>
      <c r="M708" s="23"/>
      <c r="N708" s="23"/>
    </row>
    <row r="709" spans="8:14" ht="14.25" customHeight="1">
      <c r="H709" s="20"/>
      <c r="M709" s="23"/>
      <c r="N709" s="23"/>
    </row>
    <row r="710" spans="8:14" ht="14.25" customHeight="1">
      <c r="H710" s="20"/>
      <c r="M710" s="23"/>
      <c r="N710" s="23"/>
    </row>
    <row r="711" spans="8:14" ht="14.25" customHeight="1">
      <c r="H711" s="20"/>
      <c r="M711" s="23"/>
      <c r="N711" s="23"/>
    </row>
    <row r="712" spans="8:14" ht="14.25" customHeight="1">
      <c r="H712" s="20"/>
      <c r="M712" s="23"/>
      <c r="N712" s="23"/>
    </row>
    <row r="713" spans="8:14" ht="14.25" customHeight="1">
      <c r="H713" s="20"/>
      <c r="M713" s="23"/>
      <c r="N713" s="23"/>
    </row>
    <row r="714" spans="8:14" ht="14.25" customHeight="1">
      <c r="H714" s="20"/>
      <c r="M714" s="23"/>
      <c r="N714" s="23"/>
    </row>
    <row r="715" spans="8:14" ht="14.25" customHeight="1">
      <c r="H715" s="20"/>
      <c r="M715" s="23"/>
      <c r="N715" s="23"/>
    </row>
    <row r="716" spans="8:14" ht="14.25" customHeight="1">
      <c r="H716" s="20"/>
      <c r="M716" s="23"/>
      <c r="N716" s="23"/>
    </row>
    <row r="717" spans="8:14" ht="14.25" customHeight="1">
      <c r="H717" s="20"/>
      <c r="M717" s="23"/>
      <c r="N717" s="23"/>
    </row>
    <row r="718" spans="8:14" ht="14.25" customHeight="1">
      <c r="H718" s="20"/>
      <c r="M718" s="23"/>
      <c r="N718" s="23"/>
    </row>
    <row r="719" spans="8:14" ht="14.25" customHeight="1">
      <c r="H719" s="20"/>
      <c r="M719" s="23"/>
      <c r="N719" s="23"/>
    </row>
    <row r="720" spans="8:14" ht="14.25" customHeight="1">
      <c r="H720" s="20"/>
      <c r="M720" s="23"/>
      <c r="N720" s="23"/>
    </row>
    <row r="721" spans="8:14" ht="14.25" customHeight="1">
      <c r="H721" s="20"/>
      <c r="M721" s="23"/>
      <c r="N721" s="23"/>
    </row>
    <row r="722" spans="8:14" ht="14.25" customHeight="1">
      <c r="H722" s="20"/>
      <c r="M722" s="23"/>
      <c r="N722" s="23"/>
    </row>
    <row r="723" spans="8:14" ht="14.25" customHeight="1">
      <c r="H723" s="20"/>
      <c r="M723" s="23"/>
      <c r="N723" s="23"/>
    </row>
    <row r="724" spans="8:14" ht="14.25" customHeight="1">
      <c r="H724" s="20"/>
      <c r="M724" s="23"/>
      <c r="N724" s="23"/>
    </row>
    <row r="725" spans="8:14" ht="14.25" customHeight="1">
      <c r="H725" s="20"/>
      <c r="M725" s="23"/>
      <c r="N725" s="23"/>
    </row>
    <row r="726" spans="8:14" ht="14.25" customHeight="1">
      <c r="H726" s="20"/>
      <c r="M726" s="23"/>
      <c r="N726" s="23"/>
    </row>
    <row r="727" spans="8:14" ht="14.25" customHeight="1">
      <c r="H727" s="20"/>
      <c r="M727" s="23"/>
      <c r="N727" s="23"/>
    </row>
    <row r="728" spans="8:14" ht="14.25" customHeight="1">
      <c r="H728" s="20"/>
      <c r="M728" s="23"/>
      <c r="N728" s="23"/>
    </row>
    <row r="729" spans="8:14" ht="14.25" customHeight="1">
      <c r="H729" s="20"/>
      <c r="M729" s="23"/>
      <c r="N729" s="23"/>
    </row>
    <row r="730" spans="8:14" ht="14.25" customHeight="1">
      <c r="H730" s="20"/>
      <c r="M730" s="23"/>
      <c r="N730" s="23"/>
    </row>
    <row r="731" spans="8:14" ht="14.25" customHeight="1">
      <c r="H731" s="20"/>
      <c r="M731" s="23"/>
      <c r="N731" s="23"/>
    </row>
    <row r="732" spans="8:14" ht="14.25" customHeight="1">
      <c r="H732" s="20"/>
      <c r="M732" s="23"/>
      <c r="N732" s="23"/>
    </row>
    <row r="733" spans="8:14" ht="14.25" customHeight="1">
      <c r="H733" s="20"/>
      <c r="M733" s="23"/>
      <c r="N733" s="23"/>
    </row>
    <row r="734" spans="8:14" ht="14.25" customHeight="1">
      <c r="H734" s="20"/>
      <c r="M734" s="23"/>
      <c r="N734" s="23"/>
    </row>
    <row r="735" spans="8:14" ht="14.25" customHeight="1">
      <c r="H735" s="20"/>
      <c r="M735" s="23"/>
      <c r="N735" s="23"/>
    </row>
    <row r="736" spans="8:14" ht="14.25" customHeight="1">
      <c r="H736" s="20"/>
      <c r="M736" s="23"/>
      <c r="N736" s="23"/>
    </row>
    <row r="737" spans="8:14" ht="14.25" customHeight="1">
      <c r="H737" s="20"/>
      <c r="M737" s="23"/>
      <c r="N737" s="23"/>
    </row>
    <row r="738" spans="8:14" ht="14.25" customHeight="1">
      <c r="H738" s="20"/>
      <c r="M738" s="23"/>
      <c r="N738" s="23"/>
    </row>
    <row r="739" spans="8:14" ht="14.25" customHeight="1">
      <c r="H739" s="20"/>
      <c r="M739" s="23"/>
      <c r="N739" s="23"/>
    </row>
    <row r="740" spans="8:14" ht="14.25" customHeight="1">
      <c r="H740" s="20"/>
      <c r="M740" s="23"/>
      <c r="N740" s="23"/>
    </row>
    <row r="741" spans="8:14" ht="14.25" customHeight="1">
      <c r="H741" s="20"/>
      <c r="M741" s="23"/>
      <c r="N741" s="23"/>
    </row>
    <row r="742" spans="8:14" ht="14.25" customHeight="1">
      <c r="H742" s="20"/>
      <c r="M742" s="23"/>
      <c r="N742" s="23"/>
    </row>
    <row r="743" spans="8:14" ht="14.25" customHeight="1">
      <c r="H743" s="20"/>
      <c r="M743" s="23"/>
      <c r="N743" s="23"/>
    </row>
    <row r="744" spans="8:14" ht="14.25" customHeight="1">
      <c r="H744" s="20"/>
      <c r="M744" s="23"/>
      <c r="N744" s="23"/>
    </row>
    <row r="745" spans="8:14" ht="14.25" customHeight="1">
      <c r="H745" s="20"/>
      <c r="M745" s="23"/>
      <c r="N745" s="23"/>
    </row>
    <row r="746" spans="8:14" ht="14.25" customHeight="1">
      <c r="H746" s="20"/>
      <c r="M746" s="23"/>
      <c r="N746" s="23"/>
    </row>
    <row r="747" spans="8:14" ht="14.25" customHeight="1">
      <c r="H747" s="20"/>
      <c r="M747" s="23"/>
      <c r="N747" s="23"/>
    </row>
    <row r="748" spans="8:14" ht="14.25" customHeight="1">
      <c r="H748" s="20"/>
      <c r="M748" s="23"/>
      <c r="N748" s="23"/>
    </row>
    <row r="749" spans="8:14" ht="14.25" customHeight="1">
      <c r="H749" s="20"/>
      <c r="M749" s="23"/>
      <c r="N749" s="23"/>
    </row>
    <row r="750" spans="8:14" ht="14.25" customHeight="1">
      <c r="H750" s="20"/>
      <c r="M750" s="23"/>
      <c r="N750" s="23"/>
    </row>
    <row r="751" spans="8:14" ht="14.25" customHeight="1">
      <c r="H751" s="20"/>
      <c r="M751" s="23"/>
      <c r="N751" s="23"/>
    </row>
    <row r="752" spans="8:14" ht="14.25" customHeight="1">
      <c r="H752" s="20"/>
      <c r="M752" s="23"/>
      <c r="N752" s="23"/>
    </row>
    <row r="753" spans="8:14" ht="14.25" customHeight="1">
      <c r="H753" s="20"/>
      <c r="M753" s="23"/>
      <c r="N753" s="23"/>
    </row>
    <row r="754" spans="8:14" ht="14.25" customHeight="1">
      <c r="H754" s="20"/>
      <c r="M754" s="23"/>
      <c r="N754" s="23"/>
    </row>
    <row r="755" spans="8:14" ht="14.25" customHeight="1">
      <c r="H755" s="20"/>
      <c r="M755" s="23"/>
      <c r="N755" s="23"/>
    </row>
    <row r="756" spans="8:14" ht="14.25" customHeight="1">
      <c r="H756" s="20"/>
      <c r="M756" s="23"/>
      <c r="N756" s="23"/>
    </row>
    <row r="757" spans="8:14" ht="14.25" customHeight="1">
      <c r="H757" s="20"/>
      <c r="M757" s="23"/>
      <c r="N757" s="23"/>
    </row>
    <row r="758" spans="8:14" ht="14.25" customHeight="1">
      <c r="H758" s="20"/>
      <c r="M758" s="23"/>
      <c r="N758" s="23"/>
    </row>
    <row r="759" spans="8:14" ht="14.25" customHeight="1">
      <c r="H759" s="20"/>
      <c r="M759" s="23"/>
      <c r="N759" s="23"/>
    </row>
    <row r="760" spans="8:14" ht="14.25" customHeight="1">
      <c r="H760" s="20"/>
      <c r="M760" s="23"/>
      <c r="N760" s="23"/>
    </row>
    <row r="761" spans="8:14" ht="14.25" customHeight="1">
      <c r="H761" s="20"/>
      <c r="M761" s="23"/>
      <c r="N761" s="23"/>
    </row>
    <row r="762" spans="8:14" ht="14.25" customHeight="1">
      <c r="H762" s="20"/>
      <c r="M762" s="23"/>
      <c r="N762" s="23"/>
    </row>
    <row r="763" spans="8:14" ht="14.25" customHeight="1">
      <c r="H763" s="20"/>
      <c r="M763" s="23"/>
      <c r="N763" s="23"/>
    </row>
    <row r="764" spans="8:14" ht="14.25" customHeight="1">
      <c r="H764" s="20"/>
      <c r="M764" s="23"/>
      <c r="N764" s="23"/>
    </row>
    <row r="765" spans="8:14" ht="14.25" customHeight="1">
      <c r="H765" s="20"/>
      <c r="M765" s="23"/>
      <c r="N765" s="23"/>
    </row>
    <row r="766" spans="8:14" ht="14.25" customHeight="1">
      <c r="H766" s="20"/>
      <c r="M766" s="23"/>
      <c r="N766" s="23"/>
    </row>
    <row r="767" spans="8:14" ht="14.25" customHeight="1">
      <c r="H767" s="20"/>
      <c r="M767" s="23"/>
      <c r="N767" s="23"/>
    </row>
    <row r="768" spans="8:14" ht="14.25" customHeight="1">
      <c r="H768" s="20"/>
      <c r="M768" s="23"/>
      <c r="N768" s="23"/>
    </row>
    <row r="769" spans="8:14" ht="14.25" customHeight="1">
      <c r="H769" s="20"/>
      <c r="M769" s="23"/>
      <c r="N769" s="23"/>
    </row>
    <row r="770" spans="8:14" ht="14.25" customHeight="1">
      <c r="H770" s="20"/>
      <c r="M770" s="23"/>
      <c r="N770" s="23"/>
    </row>
    <row r="771" spans="8:14" ht="14.25" customHeight="1">
      <c r="H771" s="20"/>
      <c r="M771" s="23"/>
      <c r="N771" s="23"/>
    </row>
    <row r="772" spans="8:14" ht="14.25" customHeight="1">
      <c r="H772" s="20"/>
      <c r="M772" s="23"/>
      <c r="N772" s="23"/>
    </row>
    <row r="773" spans="8:14" ht="14.25" customHeight="1">
      <c r="H773" s="20"/>
      <c r="M773" s="23"/>
      <c r="N773" s="23"/>
    </row>
    <row r="774" spans="8:14" ht="14.25" customHeight="1">
      <c r="H774" s="20"/>
      <c r="M774" s="23"/>
      <c r="N774" s="23"/>
    </row>
    <row r="775" spans="8:14" ht="14.25" customHeight="1">
      <c r="H775" s="20"/>
      <c r="M775" s="23"/>
      <c r="N775" s="23"/>
    </row>
    <row r="776" spans="8:14" ht="14.25" customHeight="1">
      <c r="H776" s="20"/>
      <c r="M776" s="23"/>
      <c r="N776" s="23"/>
    </row>
    <row r="777" spans="8:14" ht="14.25" customHeight="1">
      <c r="H777" s="20"/>
      <c r="M777" s="23"/>
      <c r="N777" s="23"/>
    </row>
    <row r="778" spans="8:14" ht="14.25" customHeight="1">
      <c r="H778" s="20"/>
      <c r="M778" s="23"/>
      <c r="N778" s="23"/>
    </row>
    <row r="779" spans="8:14" ht="14.25" customHeight="1">
      <c r="H779" s="20"/>
      <c r="M779" s="23"/>
      <c r="N779" s="23"/>
    </row>
    <row r="780" spans="8:14" ht="14.25" customHeight="1">
      <c r="H780" s="20"/>
      <c r="M780" s="23"/>
      <c r="N780" s="23"/>
    </row>
    <row r="781" spans="8:14" ht="14.25" customHeight="1">
      <c r="H781" s="20"/>
      <c r="M781" s="23"/>
      <c r="N781" s="23"/>
    </row>
    <row r="782" spans="8:14" ht="14.25" customHeight="1">
      <c r="H782" s="20"/>
      <c r="M782" s="23"/>
      <c r="N782" s="23"/>
    </row>
    <row r="783" spans="8:14" ht="14.25" customHeight="1">
      <c r="H783" s="20"/>
      <c r="M783" s="23"/>
      <c r="N783" s="23"/>
    </row>
    <row r="784" spans="8:14" ht="14.25" customHeight="1">
      <c r="H784" s="20"/>
      <c r="M784" s="23"/>
      <c r="N784" s="23"/>
    </row>
    <row r="785" spans="8:14" ht="14.25" customHeight="1">
      <c r="H785" s="20"/>
      <c r="M785" s="23"/>
      <c r="N785" s="23"/>
    </row>
    <row r="786" spans="8:14" ht="14.25" customHeight="1">
      <c r="H786" s="20"/>
      <c r="M786" s="23"/>
      <c r="N786" s="23"/>
    </row>
    <row r="787" spans="8:14" ht="14.25" customHeight="1">
      <c r="H787" s="20"/>
      <c r="M787" s="23"/>
      <c r="N787" s="23"/>
    </row>
    <row r="788" spans="8:14" ht="14.25" customHeight="1">
      <c r="H788" s="20"/>
      <c r="M788" s="23"/>
      <c r="N788" s="23"/>
    </row>
    <row r="789" spans="8:14" ht="14.25" customHeight="1">
      <c r="H789" s="20"/>
      <c r="M789" s="23"/>
      <c r="N789" s="23"/>
    </row>
    <row r="790" spans="8:14" ht="14.25" customHeight="1">
      <c r="H790" s="20"/>
      <c r="M790" s="23"/>
      <c r="N790" s="23"/>
    </row>
    <row r="791" spans="8:14" ht="14.25" customHeight="1">
      <c r="H791" s="20"/>
      <c r="M791" s="23"/>
      <c r="N791" s="23"/>
    </row>
    <row r="792" spans="8:14" ht="14.25" customHeight="1">
      <c r="H792" s="20"/>
      <c r="M792" s="23"/>
      <c r="N792" s="23"/>
    </row>
    <row r="793" spans="8:14" ht="14.25" customHeight="1">
      <c r="H793" s="20"/>
      <c r="M793" s="23"/>
      <c r="N793" s="23"/>
    </row>
    <row r="794" spans="8:14" ht="14.25" customHeight="1">
      <c r="H794" s="20"/>
      <c r="M794" s="23"/>
      <c r="N794" s="23"/>
    </row>
    <row r="795" spans="8:14" ht="14.25" customHeight="1">
      <c r="H795" s="20"/>
      <c r="M795" s="23"/>
      <c r="N795" s="23"/>
    </row>
    <row r="796" spans="8:14" ht="14.25" customHeight="1">
      <c r="H796" s="20"/>
      <c r="M796" s="23"/>
      <c r="N796" s="23"/>
    </row>
    <row r="797" spans="8:14" ht="14.25" customHeight="1">
      <c r="H797" s="20"/>
      <c r="M797" s="23"/>
      <c r="N797" s="23"/>
    </row>
    <row r="798" spans="8:14" ht="14.25" customHeight="1">
      <c r="H798" s="20"/>
      <c r="M798" s="23"/>
      <c r="N798" s="23"/>
    </row>
    <row r="799" spans="8:14" ht="14.25" customHeight="1">
      <c r="H799" s="20"/>
      <c r="M799" s="23"/>
      <c r="N799" s="23"/>
    </row>
    <row r="800" spans="8:14" ht="14.25" customHeight="1">
      <c r="H800" s="20"/>
      <c r="M800" s="23"/>
      <c r="N800" s="23"/>
    </row>
    <row r="801" spans="8:14" ht="14.25" customHeight="1">
      <c r="H801" s="20"/>
      <c r="M801" s="23"/>
      <c r="N801" s="23"/>
    </row>
    <row r="802" spans="8:14" ht="14.25" customHeight="1">
      <c r="H802" s="20"/>
      <c r="M802" s="23"/>
      <c r="N802" s="23"/>
    </row>
    <row r="803" spans="8:14" ht="14.25" customHeight="1">
      <c r="H803" s="20"/>
      <c r="M803" s="23"/>
      <c r="N803" s="23"/>
    </row>
    <row r="804" spans="8:14" ht="14.25" customHeight="1">
      <c r="H804" s="20"/>
      <c r="M804" s="23"/>
      <c r="N804" s="23"/>
    </row>
    <row r="805" spans="8:14" ht="14.25" customHeight="1">
      <c r="H805" s="20"/>
      <c r="M805" s="23"/>
      <c r="N805" s="23"/>
    </row>
    <row r="806" spans="8:14" ht="14.25" customHeight="1">
      <c r="H806" s="20"/>
      <c r="M806" s="23"/>
      <c r="N806" s="23"/>
    </row>
    <row r="807" spans="8:14" ht="14.25" customHeight="1">
      <c r="H807" s="20"/>
      <c r="M807" s="23"/>
      <c r="N807" s="23"/>
    </row>
    <row r="808" spans="8:14" ht="14.25" customHeight="1">
      <c r="H808" s="20"/>
      <c r="M808" s="23"/>
      <c r="N808" s="23"/>
    </row>
    <row r="809" spans="8:14" ht="14.25" customHeight="1">
      <c r="H809" s="20"/>
      <c r="M809" s="23"/>
      <c r="N809" s="23"/>
    </row>
    <row r="810" spans="8:14" ht="14.25" customHeight="1">
      <c r="H810" s="20"/>
      <c r="M810" s="23"/>
      <c r="N810" s="23"/>
    </row>
    <row r="811" spans="8:14" ht="14.25" customHeight="1">
      <c r="H811" s="20"/>
      <c r="M811" s="23"/>
      <c r="N811" s="23"/>
    </row>
    <row r="812" spans="8:14" ht="14.25" customHeight="1">
      <c r="H812" s="20"/>
      <c r="M812" s="23"/>
      <c r="N812" s="23"/>
    </row>
    <row r="813" spans="8:14" ht="14.25" customHeight="1">
      <c r="H813" s="20"/>
      <c r="M813" s="23"/>
      <c r="N813" s="23"/>
    </row>
    <row r="814" spans="8:14" ht="14.25" customHeight="1">
      <c r="H814" s="20"/>
      <c r="M814" s="23"/>
      <c r="N814" s="23"/>
    </row>
    <row r="815" spans="8:14" ht="14.25" customHeight="1">
      <c r="H815" s="20"/>
      <c r="M815" s="23"/>
      <c r="N815" s="23"/>
    </row>
    <row r="816" spans="8:14" ht="14.25" customHeight="1">
      <c r="H816" s="20"/>
      <c r="M816" s="23"/>
      <c r="N816" s="23"/>
    </row>
    <row r="817" spans="8:14" ht="14.25" customHeight="1">
      <c r="H817" s="20"/>
      <c r="M817" s="23"/>
      <c r="N817" s="23"/>
    </row>
    <row r="818" spans="8:14" ht="14.25" customHeight="1">
      <c r="H818" s="20"/>
      <c r="M818" s="23"/>
      <c r="N818" s="23"/>
    </row>
    <row r="819" spans="8:14" ht="14.25" customHeight="1">
      <c r="H819" s="20"/>
      <c r="M819" s="23"/>
      <c r="N819" s="23"/>
    </row>
    <row r="820" spans="8:14" ht="14.25" customHeight="1">
      <c r="H820" s="20"/>
      <c r="M820" s="23"/>
      <c r="N820" s="23"/>
    </row>
    <row r="821" spans="8:14" ht="14.25" customHeight="1">
      <c r="H821" s="20"/>
      <c r="M821" s="23"/>
      <c r="N821" s="23"/>
    </row>
    <row r="822" spans="8:14" ht="14.25" customHeight="1">
      <c r="H822" s="20"/>
      <c r="M822" s="23"/>
      <c r="N822" s="23"/>
    </row>
    <row r="823" spans="8:14" ht="14.25" customHeight="1">
      <c r="H823" s="20"/>
      <c r="M823" s="23"/>
      <c r="N823" s="23"/>
    </row>
    <row r="824" spans="8:14" ht="14.25" customHeight="1">
      <c r="H824" s="20"/>
      <c r="M824" s="23"/>
      <c r="N824" s="23"/>
    </row>
    <row r="825" spans="8:14" ht="14.25" customHeight="1">
      <c r="H825" s="20"/>
      <c r="M825" s="23"/>
      <c r="N825" s="23"/>
    </row>
    <row r="826" spans="8:14" ht="14.25" customHeight="1">
      <c r="H826" s="20"/>
      <c r="M826" s="23"/>
      <c r="N826" s="23"/>
    </row>
    <row r="827" spans="8:14" ht="14.25" customHeight="1">
      <c r="H827" s="20"/>
      <c r="M827" s="23"/>
      <c r="N827" s="23"/>
    </row>
    <row r="828" spans="8:14" ht="14.25" customHeight="1">
      <c r="H828" s="20"/>
      <c r="M828" s="23"/>
      <c r="N828" s="23"/>
    </row>
    <row r="829" spans="8:14" ht="14.25" customHeight="1">
      <c r="H829" s="20"/>
      <c r="M829" s="23"/>
      <c r="N829" s="23"/>
    </row>
    <row r="830" spans="8:14" ht="14.25" customHeight="1">
      <c r="H830" s="20"/>
      <c r="M830" s="23"/>
      <c r="N830" s="23"/>
    </row>
    <row r="831" spans="8:14" ht="14.25" customHeight="1">
      <c r="H831" s="20"/>
      <c r="M831" s="23"/>
      <c r="N831" s="23"/>
    </row>
    <row r="832" spans="8:14" ht="14.25" customHeight="1">
      <c r="H832" s="20"/>
      <c r="M832" s="23"/>
      <c r="N832" s="23"/>
    </row>
    <row r="833" spans="8:14" ht="14.25" customHeight="1">
      <c r="H833" s="20"/>
      <c r="M833" s="23"/>
      <c r="N833" s="23"/>
    </row>
    <row r="834" spans="8:14" ht="14.25" customHeight="1">
      <c r="H834" s="20"/>
      <c r="M834" s="23"/>
      <c r="N834" s="23"/>
    </row>
    <row r="835" spans="8:14" ht="14.25" customHeight="1">
      <c r="H835" s="20"/>
      <c r="M835" s="23"/>
      <c r="N835" s="23"/>
    </row>
    <row r="836" spans="8:14" ht="14.25" customHeight="1">
      <c r="H836" s="20"/>
      <c r="M836" s="23"/>
      <c r="N836" s="23"/>
    </row>
    <row r="837" spans="8:14" ht="14.25" customHeight="1">
      <c r="H837" s="20"/>
      <c r="M837" s="23"/>
      <c r="N837" s="23"/>
    </row>
    <row r="838" spans="8:14" ht="14.25" customHeight="1">
      <c r="H838" s="20"/>
      <c r="M838" s="23"/>
      <c r="N838" s="23"/>
    </row>
    <row r="839" spans="8:14" ht="14.25" customHeight="1">
      <c r="H839" s="20"/>
      <c r="M839" s="23"/>
      <c r="N839" s="23"/>
    </row>
    <row r="840" spans="8:14" ht="14.25" customHeight="1">
      <c r="H840" s="20"/>
      <c r="M840" s="23"/>
      <c r="N840" s="23"/>
    </row>
    <row r="841" spans="8:14" ht="14.25" customHeight="1">
      <c r="H841" s="20"/>
      <c r="M841" s="23"/>
      <c r="N841" s="23"/>
    </row>
    <row r="842" spans="8:14" ht="14.25" customHeight="1">
      <c r="H842" s="20"/>
      <c r="M842" s="23"/>
      <c r="N842" s="23"/>
    </row>
    <row r="843" spans="8:14" ht="14.25" customHeight="1">
      <c r="H843" s="20"/>
      <c r="M843" s="23"/>
      <c r="N843" s="23"/>
    </row>
    <row r="844" spans="8:14" ht="14.25" customHeight="1">
      <c r="H844" s="20"/>
      <c r="M844" s="23"/>
      <c r="N844" s="23"/>
    </row>
    <row r="845" spans="8:14" ht="14.25" customHeight="1">
      <c r="H845" s="20"/>
      <c r="M845" s="23"/>
      <c r="N845" s="23"/>
    </row>
    <row r="846" spans="8:14" ht="14.25" customHeight="1">
      <c r="H846" s="20"/>
      <c r="M846" s="23"/>
      <c r="N846" s="23"/>
    </row>
    <row r="847" spans="8:14" ht="14.25" customHeight="1">
      <c r="H847" s="20"/>
      <c r="M847" s="23"/>
      <c r="N847" s="23"/>
    </row>
    <row r="848" spans="8:14" ht="14.25" customHeight="1">
      <c r="H848" s="20"/>
      <c r="M848" s="23"/>
      <c r="N848" s="23"/>
    </row>
    <row r="849" spans="8:14" ht="14.25" customHeight="1">
      <c r="H849" s="20"/>
      <c r="M849" s="23"/>
      <c r="N849" s="23"/>
    </row>
    <row r="850" spans="8:14" ht="14.25" customHeight="1">
      <c r="H850" s="20"/>
      <c r="M850" s="23"/>
      <c r="N850" s="23"/>
    </row>
    <row r="851" spans="8:14" ht="14.25" customHeight="1">
      <c r="H851" s="20"/>
      <c r="M851" s="23"/>
      <c r="N851" s="23"/>
    </row>
    <row r="852" spans="8:14" ht="14.25" customHeight="1">
      <c r="H852" s="20"/>
      <c r="M852" s="23"/>
      <c r="N852" s="23"/>
    </row>
    <row r="853" spans="8:14" ht="14.25" customHeight="1">
      <c r="H853" s="20"/>
      <c r="M853" s="23"/>
      <c r="N853" s="23"/>
    </row>
    <row r="854" spans="8:14" ht="14.25" customHeight="1">
      <c r="H854" s="20"/>
      <c r="M854" s="23"/>
      <c r="N854" s="23"/>
    </row>
    <row r="855" spans="8:14" ht="14.25" customHeight="1">
      <c r="H855" s="20"/>
      <c r="M855" s="23"/>
      <c r="N855" s="23"/>
    </row>
    <row r="856" spans="8:14" ht="14.25" customHeight="1">
      <c r="H856" s="20"/>
      <c r="M856" s="23"/>
      <c r="N856" s="23"/>
    </row>
    <row r="857" spans="8:14" ht="14.25" customHeight="1">
      <c r="H857" s="20"/>
      <c r="M857" s="23"/>
      <c r="N857" s="23"/>
    </row>
    <row r="858" spans="8:14" ht="14.25" customHeight="1">
      <c r="H858" s="20"/>
      <c r="M858" s="23"/>
      <c r="N858" s="23"/>
    </row>
    <row r="859" spans="8:14" ht="14.25" customHeight="1">
      <c r="H859" s="20"/>
      <c r="M859" s="23"/>
      <c r="N859" s="23"/>
    </row>
    <row r="860" spans="8:14" ht="14.25" customHeight="1">
      <c r="H860" s="20"/>
      <c r="M860" s="23"/>
      <c r="N860" s="23"/>
    </row>
    <row r="861" spans="8:14" ht="14.25" customHeight="1">
      <c r="H861" s="20"/>
      <c r="M861" s="23"/>
      <c r="N861" s="23"/>
    </row>
    <row r="862" spans="8:14" ht="14.25" customHeight="1">
      <c r="H862" s="20"/>
      <c r="M862" s="23"/>
      <c r="N862" s="23"/>
    </row>
    <row r="863" spans="8:14" ht="14.25" customHeight="1">
      <c r="H863" s="20"/>
      <c r="M863" s="23"/>
      <c r="N863" s="23"/>
    </row>
    <row r="864" spans="8:14" ht="14.25" customHeight="1">
      <c r="H864" s="20"/>
      <c r="M864" s="23"/>
      <c r="N864" s="23"/>
    </row>
    <row r="865" spans="8:14" ht="14.25" customHeight="1">
      <c r="H865" s="20"/>
      <c r="M865" s="23"/>
      <c r="N865" s="23"/>
    </row>
    <row r="866" spans="8:14" ht="14.25" customHeight="1">
      <c r="H866" s="20"/>
      <c r="M866" s="23"/>
      <c r="N866" s="23"/>
    </row>
    <row r="867" spans="8:14" ht="14.25" customHeight="1">
      <c r="H867" s="20"/>
      <c r="M867" s="23"/>
      <c r="N867" s="23"/>
    </row>
    <row r="868" spans="8:14" ht="14.25" customHeight="1">
      <c r="H868" s="20"/>
      <c r="M868" s="23"/>
      <c r="N868" s="23"/>
    </row>
    <row r="869" spans="8:14" ht="14.25" customHeight="1">
      <c r="H869" s="20"/>
      <c r="M869" s="23"/>
      <c r="N869" s="23"/>
    </row>
    <row r="870" spans="8:14" ht="14.25" customHeight="1">
      <c r="H870" s="20"/>
      <c r="M870" s="23"/>
      <c r="N870" s="23"/>
    </row>
    <row r="871" spans="8:14" ht="14.25" customHeight="1">
      <c r="H871" s="20"/>
      <c r="M871" s="23"/>
      <c r="N871" s="23"/>
    </row>
    <row r="872" spans="8:14" ht="14.25" customHeight="1">
      <c r="H872" s="20"/>
      <c r="M872" s="23"/>
      <c r="N872" s="23"/>
    </row>
    <row r="873" spans="8:14" ht="14.25" customHeight="1">
      <c r="H873" s="20"/>
      <c r="M873" s="23"/>
      <c r="N873" s="23"/>
    </row>
    <row r="874" spans="8:14" ht="14.25" customHeight="1">
      <c r="H874" s="20"/>
      <c r="M874" s="23"/>
      <c r="N874" s="23"/>
    </row>
    <row r="875" spans="8:14" ht="14.25" customHeight="1">
      <c r="H875" s="20"/>
      <c r="M875" s="23"/>
      <c r="N875" s="23"/>
    </row>
    <row r="876" spans="8:14" ht="14.25" customHeight="1">
      <c r="H876" s="20"/>
      <c r="M876" s="23"/>
      <c r="N876" s="23"/>
    </row>
    <row r="877" spans="8:14" ht="14.25" customHeight="1">
      <c r="H877" s="20"/>
      <c r="M877" s="23"/>
      <c r="N877" s="23"/>
    </row>
    <row r="878" spans="8:14" ht="14.25" customHeight="1">
      <c r="H878" s="20"/>
      <c r="M878" s="23"/>
      <c r="N878" s="23"/>
    </row>
    <row r="879" spans="8:14" ht="14.25" customHeight="1">
      <c r="H879" s="20"/>
      <c r="M879" s="23"/>
      <c r="N879" s="23"/>
    </row>
    <row r="880" spans="8:14" ht="14.25" customHeight="1">
      <c r="H880" s="20"/>
      <c r="M880" s="23"/>
      <c r="N880" s="23"/>
    </row>
    <row r="881" spans="8:14" ht="14.25" customHeight="1">
      <c r="H881" s="20"/>
      <c r="M881" s="23"/>
      <c r="N881" s="23"/>
    </row>
    <row r="882" spans="8:14" ht="14.25" customHeight="1">
      <c r="H882" s="20"/>
      <c r="M882" s="23"/>
      <c r="N882" s="23"/>
    </row>
    <row r="883" spans="8:14" ht="14.25" customHeight="1">
      <c r="H883" s="20"/>
      <c r="M883" s="23"/>
      <c r="N883" s="23"/>
    </row>
    <row r="884" spans="8:14" ht="14.25" customHeight="1">
      <c r="H884" s="20"/>
      <c r="M884" s="23"/>
      <c r="N884" s="23"/>
    </row>
    <row r="885" spans="8:14" ht="14.25" customHeight="1">
      <c r="H885" s="20"/>
      <c r="M885" s="23"/>
      <c r="N885" s="23"/>
    </row>
    <row r="886" spans="8:14" ht="14.25" customHeight="1">
      <c r="H886" s="20"/>
      <c r="M886" s="23"/>
      <c r="N886" s="23"/>
    </row>
    <row r="887" spans="8:14" ht="14.25" customHeight="1">
      <c r="H887" s="20"/>
      <c r="M887" s="23"/>
      <c r="N887" s="23"/>
    </row>
    <row r="888" spans="8:14" ht="14.25" customHeight="1">
      <c r="H888" s="20"/>
      <c r="M888" s="23"/>
      <c r="N888" s="23"/>
    </row>
    <row r="889" spans="8:14" ht="14.25" customHeight="1">
      <c r="H889" s="20"/>
      <c r="M889" s="23"/>
      <c r="N889" s="23"/>
    </row>
    <row r="890" spans="8:14" ht="14.25" customHeight="1">
      <c r="H890" s="20"/>
      <c r="M890" s="23"/>
      <c r="N890" s="23"/>
    </row>
    <row r="891" spans="8:14" ht="14.25" customHeight="1">
      <c r="H891" s="20"/>
      <c r="M891" s="23"/>
      <c r="N891" s="23"/>
    </row>
    <row r="892" spans="8:14" ht="14.25" customHeight="1">
      <c r="H892" s="20"/>
      <c r="M892" s="23"/>
      <c r="N892" s="23"/>
    </row>
    <row r="893" spans="8:14" ht="14.25" customHeight="1">
      <c r="H893" s="20"/>
      <c r="M893" s="23"/>
      <c r="N893" s="23"/>
    </row>
    <row r="894" spans="8:14" ht="14.25" customHeight="1">
      <c r="H894" s="20"/>
      <c r="M894" s="23"/>
      <c r="N894" s="23"/>
    </row>
    <row r="895" spans="8:14" ht="14.25" customHeight="1">
      <c r="H895" s="20"/>
      <c r="M895" s="23"/>
      <c r="N895" s="23"/>
    </row>
    <row r="896" spans="8:14" ht="14.25" customHeight="1">
      <c r="H896" s="20"/>
      <c r="M896" s="23"/>
      <c r="N896" s="23"/>
    </row>
    <row r="897" spans="8:14" ht="14.25" customHeight="1">
      <c r="H897" s="20"/>
      <c r="M897" s="23"/>
      <c r="N897" s="23"/>
    </row>
    <row r="898" spans="8:14" ht="14.25" customHeight="1">
      <c r="H898" s="20"/>
      <c r="M898" s="23"/>
      <c r="N898" s="23"/>
    </row>
    <row r="899" spans="8:14" ht="14.25" customHeight="1">
      <c r="H899" s="20"/>
      <c r="M899" s="23"/>
      <c r="N899" s="23"/>
    </row>
    <row r="900" spans="8:14" ht="14.25" customHeight="1">
      <c r="H900" s="20"/>
      <c r="M900" s="23"/>
      <c r="N900" s="23"/>
    </row>
    <row r="901" spans="8:14" ht="14.25" customHeight="1">
      <c r="H901" s="20"/>
      <c r="M901" s="23"/>
      <c r="N901" s="23"/>
    </row>
    <row r="902" spans="8:14" ht="14.25" customHeight="1">
      <c r="H902" s="20"/>
      <c r="M902" s="23"/>
      <c r="N902" s="23"/>
    </row>
    <row r="903" spans="8:14" ht="14.25" customHeight="1">
      <c r="H903" s="20"/>
      <c r="M903" s="23"/>
      <c r="N903" s="23"/>
    </row>
    <row r="904" spans="8:14" ht="14.25" customHeight="1">
      <c r="H904" s="20"/>
      <c r="M904" s="23"/>
      <c r="N904" s="23"/>
    </row>
    <row r="905" spans="8:14" ht="14.25" customHeight="1">
      <c r="H905" s="20"/>
      <c r="M905" s="23"/>
      <c r="N905" s="23"/>
    </row>
    <row r="906" spans="8:14" ht="14.25" customHeight="1">
      <c r="H906" s="20"/>
      <c r="M906" s="23"/>
      <c r="N906" s="23"/>
    </row>
    <row r="907" spans="8:14" ht="14.25" customHeight="1">
      <c r="H907" s="20"/>
      <c r="M907" s="23"/>
      <c r="N907" s="23"/>
    </row>
    <row r="908" spans="8:14" ht="14.25" customHeight="1">
      <c r="H908" s="20"/>
      <c r="M908" s="23"/>
      <c r="N908" s="23"/>
    </row>
    <row r="909" spans="8:14" ht="14.25" customHeight="1">
      <c r="H909" s="20"/>
      <c r="M909" s="23"/>
      <c r="N909" s="23"/>
    </row>
    <row r="910" spans="8:14" ht="14.25" customHeight="1">
      <c r="H910" s="20"/>
      <c r="M910" s="23"/>
      <c r="N910" s="23"/>
    </row>
    <row r="911" spans="8:14" ht="14.25" customHeight="1">
      <c r="H911" s="20"/>
      <c r="M911" s="23"/>
      <c r="N911" s="23"/>
    </row>
    <row r="912" spans="8:14" ht="14.25" customHeight="1">
      <c r="H912" s="20"/>
      <c r="M912" s="23"/>
      <c r="N912" s="23"/>
    </row>
    <row r="913" spans="8:14" ht="14.25" customHeight="1">
      <c r="H913" s="20"/>
      <c r="M913" s="23"/>
      <c r="N913" s="23"/>
    </row>
    <row r="914" spans="8:14" ht="14.25" customHeight="1">
      <c r="H914" s="20"/>
      <c r="M914" s="23"/>
      <c r="N914" s="23"/>
    </row>
    <row r="915" spans="8:14" ht="14.25" customHeight="1">
      <c r="H915" s="20"/>
      <c r="M915" s="23"/>
      <c r="N915" s="23"/>
    </row>
    <row r="916" spans="8:14" ht="14.25" customHeight="1">
      <c r="H916" s="20"/>
      <c r="M916" s="23"/>
      <c r="N916" s="23"/>
    </row>
    <row r="917" spans="8:14" ht="14.25" customHeight="1">
      <c r="H917" s="20"/>
      <c r="M917" s="23"/>
      <c r="N917" s="23"/>
    </row>
    <row r="918" spans="8:14" ht="14.25" customHeight="1">
      <c r="H918" s="20"/>
      <c r="M918" s="23"/>
      <c r="N918" s="23"/>
    </row>
    <row r="919" spans="8:14" ht="14.25" customHeight="1">
      <c r="H919" s="20"/>
      <c r="M919" s="23"/>
      <c r="N919" s="23"/>
    </row>
    <row r="920" spans="8:14" ht="14.25" customHeight="1">
      <c r="H920" s="20"/>
      <c r="M920" s="23"/>
      <c r="N920" s="23"/>
    </row>
    <row r="921" spans="8:14" ht="14.25" customHeight="1">
      <c r="H921" s="20"/>
      <c r="M921" s="23"/>
      <c r="N921" s="23"/>
    </row>
    <row r="922" spans="8:14" ht="14.25" customHeight="1">
      <c r="H922" s="20"/>
      <c r="M922" s="23"/>
      <c r="N922" s="23"/>
    </row>
    <row r="923" spans="8:14" ht="14.25" customHeight="1">
      <c r="H923" s="20"/>
      <c r="M923" s="23"/>
      <c r="N923" s="23"/>
    </row>
    <row r="924" spans="8:14" ht="14.25" customHeight="1">
      <c r="H924" s="20"/>
      <c r="M924" s="23"/>
      <c r="N924" s="23"/>
    </row>
    <row r="925" spans="8:14" ht="14.25" customHeight="1">
      <c r="H925" s="20"/>
      <c r="M925" s="23"/>
      <c r="N925" s="23"/>
    </row>
    <row r="926" spans="8:14" ht="14.25" customHeight="1">
      <c r="H926" s="20"/>
      <c r="M926" s="23"/>
      <c r="N926" s="23"/>
    </row>
    <row r="927" spans="8:14" ht="14.25" customHeight="1">
      <c r="H927" s="20"/>
      <c r="M927" s="23"/>
      <c r="N927" s="23"/>
    </row>
    <row r="928" spans="8:14" ht="14.25" customHeight="1">
      <c r="H928" s="20"/>
      <c r="M928" s="23"/>
      <c r="N928" s="23"/>
    </row>
    <row r="929" spans="8:14" ht="14.25" customHeight="1">
      <c r="H929" s="20"/>
      <c r="M929" s="23"/>
      <c r="N929" s="23"/>
    </row>
    <row r="930" spans="8:14" ht="14.25" customHeight="1">
      <c r="H930" s="20"/>
      <c r="M930" s="23"/>
      <c r="N930" s="23"/>
    </row>
    <row r="931" spans="8:14" ht="14.25" customHeight="1">
      <c r="H931" s="20"/>
      <c r="M931" s="23"/>
      <c r="N931" s="23"/>
    </row>
    <row r="932" spans="8:14" ht="14.25" customHeight="1">
      <c r="H932" s="20"/>
      <c r="M932" s="23"/>
      <c r="N932" s="23"/>
    </row>
    <row r="933" spans="8:14" ht="14.25" customHeight="1">
      <c r="H933" s="20"/>
      <c r="M933" s="23"/>
      <c r="N933" s="23"/>
    </row>
    <row r="934" spans="8:14" ht="14.25" customHeight="1">
      <c r="H934" s="20"/>
      <c r="M934" s="23"/>
      <c r="N934" s="23"/>
    </row>
    <row r="935" spans="8:14" ht="14.25" customHeight="1">
      <c r="H935" s="20"/>
      <c r="M935" s="23"/>
      <c r="N935" s="23"/>
    </row>
    <row r="936" spans="8:14" ht="14.25" customHeight="1">
      <c r="H936" s="20"/>
      <c r="M936" s="23"/>
      <c r="N936" s="23"/>
    </row>
    <row r="937" spans="8:14" ht="14.25" customHeight="1">
      <c r="H937" s="20"/>
      <c r="M937" s="23"/>
      <c r="N937" s="23"/>
    </row>
    <row r="938" spans="8:14" ht="14.25" customHeight="1">
      <c r="H938" s="20"/>
      <c r="M938" s="23"/>
      <c r="N938" s="23"/>
    </row>
    <row r="939" spans="8:14" ht="14.25" customHeight="1">
      <c r="H939" s="20"/>
      <c r="M939" s="23"/>
      <c r="N939" s="23"/>
    </row>
    <row r="940" spans="8:14" ht="14.25" customHeight="1">
      <c r="H940" s="20"/>
      <c r="M940" s="23"/>
      <c r="N940" s="23"/>
    </row>
    <row r="941" spans="8:14" ht="14.25" customHeight="1">
      <c r="H941" s="20"/>
      <c r="M941" s="23"/>
      <c r="N941" s="23"/>
    </row>
    <row r="942" spans="8:14" ht="14.25" customHeight="1">
      <c r="H942" s="20"/>
      <c r="M942" s="23"/>
      <c r="N942" s="23"/>
    </row>
    <row r="943" spans="8:14" ht="14.25" customHeight="1">
      <c r="H943" s="20"/>
      <c r="M943" s="23"/>
      <c r="N943" s="23"/>
    </row>
    <row r="944" spans="8:14" ht="14.25" customHeight="1">
      <c r="H944" s="20"/>
      <c r="M944" s="23"/>
      <c r="N944" s="23"/>
    </row>
    <row r="945" spans="8:14" ht="14.25" customHeight="1">
      <c r="H945" s="20"/>
      <c r="M945" s="23"/>
      <c r="N945" s="23"/>
    </row>
    <row r="946" spans="8:14" ht="14.25" customHeight="1">
      <c r="H946" s="20"/>
      <c r="M946" s="23"/>
      <c r="N946" s="23"/>
    </row>
    <row r="947" spans="8:14" ht="14.25" customHeight="1">
      <c r="H947" s="20"/>
      <c r="M947" s="23"/>
      <c r="N947" s="23"/>
    </row>
    <row r="948" spans="8:14" ht="14.25" customHeight="1">
      <c r="H948" s="20"/>
      <c r="M948" s="23"/>
      <c r="N948" s="23"/>
    </row>
    <row r="949" spans="8:14" ht="14.25" customHeight="1">
      <c r="H949" s="20"/>
      <c r="M949" s="23"/>
      <c r="N949" s="23"/>
    </row>
    <row r="950" spans="8:14" ht="14.25" customHeight="1">
      <c r="H950" s="20"/>
      <c r="M950" s="23"/>
      <c r="N950" s="23"/>
    </row>
    <row r="951" spans="8:14" ht="14.25" customHeight="1">
      <c r="H951" s="20"/>
      <c r="M951" s="23"/>
      <c r="N951" s="23"/>
    </row>
    <row r="952" spans="8:14" ht="14.25" customHeight="1">
      <c r="H952" s="20"/>
      <c r="M952" s="23"/>
      <c r="N952" s="23"/>
    </row>
    <row r="953" spans="8:14" ht="14.25" customHeight="1">
      <c r="H953" s="20"/>
      <c r="M953" s="23"/>
      <c r="N953" s="23"/>
    </row>
    <row r="954" spans="8:14" ht="14.25" customHeight="1">
      <c r="H954" s="20"/>
      <c r="M954" s="23"/>
      <c r="N954" s="23"/>
    </row>
    <row r="955" spans="8:14" ht="14.25" customHeight="1">
      <c r="H955" s="20"/>
      <c r="M955" s="23"/>
      <c r="N955" s="23"/>
    </row>
    <row r="956" spans="8:14" ht="14.25" customHeight="1">
      <c r="H956" s="20"/>
      <c r="M956" s="23"/>
      <c r="N956" s="23"/>
    </row>
    <row r="957" spans="8:14" ht="14.25" customHeight="1">
      <c r="H957" s="20"/>
      <c r="M957" s="23"/>
      <c r="N957" s="23"/>
    </row>
    <row r="958" spans="8:14" ht="14.25" customHeight="1">
      <c r="H958" s="20"/>
      <c r="M958" s="23"/>
      <c r="N958" s="23"/>
    </row>
    <row r="959" spans="8:14" ht="14.25" customHeight="1">
      <c r="H959" s="20"/>
      <c r="M959" s="23"/>
      <c r="N959" s="23"/>
    </row>
    <row r="960" spans="8:14" ht="14.25" customHeight="1">
      <c r="H960" s="20"/>
      <c r="M960" s="23"/>
      <c r="N960" s="23"/>
    </row>
    <row r="961" spans="8:14" ht="14.25" customHeight="1">
      <c r="H961" s="20"/>
      <c r="M961" s="23"/>
      <c r="N961" s="23"/>
    </row>
    <row r="962" spans="8:14" ht="14.25" customHeight="1">
      <c r="H962" s="20"/>
      <c r="M962" s="23"/>
      <c r="N962" s="23"/>
    </row>
    <row r="963" spans="8:14" ht="14.25" customHeight="1">
      <c r="H963" s="20"/>
      <c r="M963" s="23"/>
      <c r="N963" s="23"/>
    </row>
    <row r="964" spans="8:14" ht="14.25" customHeight="1">
      <c r="H964" s="20"/>
      <c r="M964" s="23"/>
      <c r="N964" s="23"/>
    </row>
    <row r="965" spans="8:14" ht="14.25" customHeight="1">
      <c r="H965" s="20"/>
      <c r="M965" s="23"/>
      <c r="N965" s="23"/>
    </row>
    <row r="966" spans="8:14" ht="14.25" customHeight="1">
      <c r="H966" s="20"/>
      <c r="M966" s="23"/>
      <c r="N966" s="23"/>
    </row>
    <row r="967" spans="8:14" ht="14.25" customHeight="1">
      <c r="H967" s="20"/>
      <c r="M967" s="23"/>
      <c r="N967" s="23"/>
    </row>
    <row r="968" spans="8:14" ht="14.25" customHeight="1">
      <c r="H968" s="20"/>
      <c r="M968" s="23"/>
      <c r="N968" s="23"/>
    </row>
    <row r="969" spans="8:14" ht="14.25" customHeight="1">
      <c r="H969" s="20"/>
      <c r="M969" s="23"/>
      <c r="N969" s="23"/>
    </row>
    <row r="970" spans="8:14" ht="14.25" customHeight="1">
      <c r="H970" s="20"/>
      <c r="M970" s="23"/>
      <c r="N970" s="23"/>
    </row>
    <row r="971" spans="8:14" ht="14.25" customHeight="1">
      <c r="H971" s="20"/>
      <c r="M971" s="23"/>
      <c r="N971" s="23"/>
    </row>
    <row r="972" spans="8:14" ht="14.25" customHeight="1">
      <c r="H972" s="20"/>
      <c r="M972" s="23"/>
      <c r="N972" s="23"/>
    </row>
    <row r="973" spans="8:14" ht="14.25" customHeight="1">
      <c r="H973" s="20"/>
      <c r="M973" s="23"/>
      <c r="N973" s="23"/>
    </row>
    <row r="974" spans="8:14" ht="14.25" customHeight="1">
      <c r="H974" s="20"/>
      <c r="M974" s="23"/>
      <c r="N974" s="23"/>
    </row>
    <row r="975" spans="8:14" ht="14.25" customHeight="1">
      <c r="H975" s="20"/>
      <c r="M975" s="23"/>
      <c r="N975" s="23"/>
    </row>
    <row r="976" spans="8:14" ht="14.25" customHeight="1">
      <c r="H976" s="20"/>
      <c r="M976" s="23"/>
      <c r="N976" s="23"/>
    </row>
    <row r="977" spans="8:14" ht="14.25" customHeight="1">
      <c r="H977" s="20"/>
      <c r="M977" s="23"/>
      <c r="N977" s="23"/>
    </row>
    <row r="978" spans="8:14" ht="14.25" customHeight="1">
      <c r="H978" s="20"/>
      <c r="M978" s="23"/>
      <c r="N978" s="23"/>
    </row>
    <row r="979" spans="8:14" ht="14.25" customHeight="1">
      <c r="H979" s="20"/>
      <c r="M979" s="23"/>
      <c r="N979" s="23"/>
    </row>
    <row r="980" spans="8:14" ht="14.25" customHeight="1">
      <c r="H980" s="20"/>
      <c r="M980" s="23"/>
      <c r="N980" s="23"/>
    </row>
    <row r="981" spans="8:14" ht="14.25" customHeight="1">
      <c r="H981" s="20"/>
      <c r="M981" s="23"/>
      <c r="N981" s="23"/>
    </row>
    <row r="982" spans="8:14" ht="14.25" customHeight="1">
      <c r="H982" s="20"/>
      <c r="M982" s="23"/>
      <c r="N982" s="23"/>
    </row>
    <row r="983" spans="8:14" ht="14.25" customHeight="1">
      <c r="H983" s="20"/>
      <c r="M983" s="23"/>
      <c r="N983" s="23"/>
    </row>
    <row r="984" spans="8:14" ht="14.25" customHeight="1">
      <c r="H984" s="20"/>
      <c r="M984" s="23"/>
      <c r="N984" s="23"/>
    </row>
    <row r="985" spans="8:14" ht="14.25" customHeight="1">
      <c r="H985" s="20"/>
      <c r="M985" s="23"/>
      <c r="N985" s="23"/>
    </row>
    <row r="986" spans="8:14" ht="14.25" customHeight="1">
      <c r="H986" s="20"/>
      <c r="M986" s="23"/>
      <c r="N986" s="23"/>
    </row>
    <row r="987" spans="8:14" ht="14.25" customHeight="1">
      <c r="H987" s="20"/>
      <c r="M987" s="23"/>
      <c r="N987" s="23"/>
    </row>
    <row r="988" spans="8:14" ht="14.25" customHeight="1">
      <c r="H988" s="20"/>
      <c r="M988" s="23"/>
      <c r="N988" s="23"/>
    </row>
    <row r="989" spans="8:14" ht="14.25" customHeight="1">
      <c r="H989" s="20"/>
      <c r="M989" s="23"/>
      <c r="N989" s="23"/>
    </row>
    <row r="990" spans="8:14" ht="14.25" customHeight="1">
      <c r="H990" s="20"/>
      <c r="M990" s="23"/>
      <c r="N990" s="23"/>
    </row>
    <row r="991" spans="8:14" ht="14.25" customHeight="1">
      <c r="H991" s="20"/>
      <c r="M991" s="23"/>
      <c r="N991" s="23"/>
    </row>
    <row r="992" spans="8:14" ht="14.25" customHeight="1">
      <c r="H992" s="20"/>
      <c r="M992" s="23"/>
      <c r="N992" s="23"/>
    </row>
    <row r="993" spans="8:14" ht="14.25" customHeight="1">
      <c r="H993" s="20"/>
      <c r="M993" s="23"/>
      <c r="N993" s="23"/>
    </row>
    <row r="994" spans="8:14" ht="14.25" customHeight="1">
      <c r="H994" s="20"/>
      <c r="M994" s="23"/>
      <c r="N994" s="23"/>
    </row>
    <row r="995" spans="8:14" ht="14.25" customHeight="1">
      <c r="H995" s="20"/>
      <c r="M995" s="23"/>
      <c r="N995" s="23"/>
    </row>
    <row r="996" spans="8:14" ht="14.25" customHeight="1">
      <c r="H996" s="20"/>
      <c r="M996" s="23"/>
      <c r="N996" s="23"/>
    </row>
    <row r="997" spans="8:14" ht="14.25" customHeight="1">
      <c r="H997" s="20"/>
      <c r="M997" s="23"/>
      <c r="N997" s="23"/>
    </row>
    <row r="998" spans="8:14" ht="14.25" customHeight="1">
      <c r="H998" s="20"/>
      <c r="M998" s="23"/>
      <c r="N998" s="23"/>
    </row>
    <row r="999" spans="8:14" ht="14.25" customHeight="1">
      <c r="H999" s="20"/>
      <c r="M999" s="23"/>
      <c r="N999" s="23"/>
    </row>
    <row r="1000" spans="8:14" ht="14.25" customHeight="1">
      <c r="H1000" s="20"/>
      <c r="M1000" s="23"/>
      <c r="N1000" s="23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1D9B-5656-4213-8A71-1A916AE9F112}">
  <dimension ref="B1:D17"/>
  <sheetViews>
    <sheetView zoomScale="111" workbookViewId="0">
      <selection activeCell="C4" sqref="C4"/>
    </sheetView>
  </sheetViews>
  <sheetFormatPr defaultRowHeight="14.4"/>
  <sheetData>
    <row r="1" spans="2:4">
      <c r="B1" s="10" t="s">
        <v>294</v>
      </c>
    </row>
    <row r="2" spans="2:4">
      <c r="B2" s="16" t="s">
        <v>295</v>
      </c>
    </row>
    <row r="4" spans="2:4" ht="79.2">
      <c r="C4" s="11" t="s">
        <v>296</v>
      </c>
      <c r="D4" t="s">
        <v>297</v>
      </c>
    </row>
    <row r="5" spans="2:4">
      <c r="B5" s="12"/>
    </row>
    <row r="6" spans="2:4">
      <c r="B6" s="13"/>
    </row>
    <row r="7" spans="2:4">
      <c r="B7" s="12"/>
    </row>
    <row r="8" spans="2:4">
      <c r="B8" s="14"/>
    </row>
    <row r="9" spans="2:4">
      <c r="B9" s="15"/>
    </row>
    <row r="10" spans="2:4">
      <c r="B10" s="14"/>
    </row>
    <row r="11" spans="2:4">
      <c r="B11" s="15"/>
    </row>
    <row r="12" spans="2:4">
      <c r="B12" s="14"/>
    </row>
    <row r="13" spans="2:4">
      <c r="B13" s="15"/>
    </row>
    <row r="14" spans="2:4">
      <c r="B14" s="12"/>
    </row>
    <row r="15" spans="2:4">
      <c r="B15" s="12"/>
    </row>
    <row r="16" spans="2:4">
      <c r="B16" s="12"/>
    </row>
    <row r="17" spans="2:2">
      <c r="B1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2"/>
  <sheetViews>
    <sheetView workbookViewId="0"/>
  </sheetViews>
  <sheetFormatPr defaultColWidth="14.44140625" defaultRowHeight="15" customHeight="1"/>
  <sheetData>
    <row r="1" spans="1:4">
      <c r="A1" s="1" t="s">
        <v>5</v>
      </c>
      <c r="B1" s="1" t="s">
        <v>270</v>
      </c>
      <c r="C1" s="1" t="s">
        <v>271</v>
      </c>
      <c r="D1" s="1" t="s">
        <v>272</v>
      </c>
    </row>
    <row r="2" spans="1:4">
      <c r="A2" s="3" t="s">
        <v>91</v>
      </c>
      <c r="B2" s="3" t="s">
        <v>273</v>
      </c>
      <c r="C2" s="4">
        <v>52000</v>
      </c>
      <c r="D2" s="4">
        <v>60000</v>
      </c>
    </row>
    <row r="3" spans="1:4">
      <c r="A3" s="3" t="s">
        <v>22</v>
      </c>
      <c r="B3" s="3" t="s">
        <v>274</v>
      </c>
      <c r="C3" s="4">
        <v>18000</v>
      </c>
      <c r="D3" s="4">
        <v>22000</v>
      </c>
    </row>
    <row r="4" spans="1:4">
      <c r="A4" s="3" t="s">
        <v>63</v>
      </c>
      <c r="B4" s="3" t="s">
        <v>275</v>
      </c>
      <c r="C4" s="4">
        <v>1500</v>
      </c>
      <c r="D4" s="4">
        <v>2500</v>
      </c>
    </row>
    <row r="5" spans="1:4">
      <c r="A5" s="3" t="s">
        <v>76</v>
      </c>
      <c r="B5" s="3" t="s">
        <v>275</v>
      </c>
      <c r="C5" s="4">
        <v>1200</v>
      </c>
      <c r="D5" s="4">
        <v>2000</v>
      </c>
    </row>
    <row r="6" spans="1:4">
      <c r="A6" s="3" t="s">
        <v>35</v>
      </c>
      <c r="B6" s="3" t="s">
        <v>275</v>
      </c>
      <c r="C6" s="4">
        <v>600</v>
      </c>
      <c r="D6" s="4">
        <v>1000</v>
      </c>
    </row>
    <row r="7" spans="1:4">
      <c r="A7" s="3" t="s">
        <v>47</v>
      </c>
      <c r="B7" s="3" t="s">
        <v>273</v>
      </c>
      <c r="C7" s="4">
        <v>14000</v>
      </c>
      <c r="D7" s="4">
        <v>18000</v>
      </c>
    </row>
    <row r="8" spans="1:4">
      <c r="A8" s="3" t="s">
        <v>69</v>
      </c>
      <c r="B8" s="3" t="s">
        <v>275</v>
      </c>
      <c r="C8" s="4">
        <v>900</v>
      </c>
      <c r="D8" s="4">
        <v>1200</v>
      </c>
    </row>
    <row r="9" spans="1:4">
      <c r="A9" s="3" t="s">
        <v>54</v>
      </c>
      <c r="B9" s="3" t="s">
        <v>275</v>
      </c>
      <c r="C9" s="4">
        <v>300</v>
      </c>
      <c r="D9" s="4">
        <v>500</v>
      </c>
    </row>
    <row r="10" spans="1:4">
      <c r="A10" s="3" t="s">
        <v>17</v>
      </c>
      <c r="B10" s="3" t="s">
        <v>275</v>
      </c>
      <c r="C10" s="4">
        <v>1800</v>
      </c>
      <c r="D10" s="4">
        <v>2500</v>
      </c>
    </row>
    <row r="11" spans="1:4">
      <c r="A11" s="3" t="s">
        <v>40</v>
      </c>
      <c r="B11" s="3" t="s">
        <v>276</v>
      </c>
      <c r="C11" s="4">
        <v>22000</v>
      </c>
      <c r="D11" s="4">
        <v>28000</v>
      </c>
    </row>
    <row r="12" spans="1:4">
      <c r="A12" s="3"/>
      <c r="B12" s="3"/>
      <c r="C12" s="3"/>
      <c r="D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6"/>
  <sheetViews>
    <sheetView workbookViewId="0"/>
  </sheetViews>
  <sheetFormatPr defaultColWidth="14.44140625" defaultRowHeight="15" customHeight="1"/>
  <sheetData>
    <row r="1" spans="1:26">
      <c r="A1" s="5" t="s">
        <v>277</v>
      </c>
      <c r="B1" s="3"/>
      <c r="C1" s="3"/>
      <c r="D1" s="3"/>
      <c r="E1" s="5" t="s">
        <v>278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6" t="s">
        <v>279</v>
      </c>
      <c r="B2" s="7">
        <v>0.2</v>
      </c>
      <c r="C2" s="3"/>
      <c r="D2" s="3"/>
      <c r="E2" s="6" t="s">
        <v>280</v>
      </c>
      <c r="F2" s="7">
        <v>-0.15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6" t="s">
        <v>281</v>
      </c>
      <c r="B3" s="7">
        <v>0.1</v>
      </c>
      <c r="C3" s="3"/>
      <c r="D3" s="3"/>
      <c r="E3" s="6" t="s">
        <v>282</v>
      </c>
      <c r="F3" s="7">
        <v>-0.05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6" t="s">
        <v>283</v>
      </c>
      <c r="B4" s="7">
        <v>0.05</v>
      </c>
      <c r="C4" s="3"/>
      <c r="D4" s="3"/>
      <c r="E4" s="6" t="s">
        <v>284</v>
      </c>
      <c r="F4" s="7">
        <v>0.15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285</v>
      </c>
      <c r="B11" s="5" t="s">
        <v>286</v>
      </c>
      <c r="C11" s="5" t="s">
        <v>287</v>
      </c>
      <c r="D11" s="5" t="s">
        <v>288</v>
      </c>
      <c r="E11" s="5" t="s">
        <v>289</v>
      </c>
      <c r="F11" s="5" t="s">
        <v>290</v>
      </c>
      <c r="G11" s="5" t="s">
        <v>291</v>
      </c>
      <c r="H11" s="5" t="s">
        <v>292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6" t="s">
        <v>293</v>
      </c>
      <c r="B12" s="8">
        <v>200</v>
      </c>
      <c r="C12" s="8">
        <v>5</v>
      </c>
      <c r="D12" s="8">
        <v>20000</v>
      </c>
      <c r="E12" s="8">
        <v>1.5</v>
      </c>
      <c r="F12" s="8">
        <f>B12*C12</f>
        <v>1000</v>
      </c>
      <c r="G12" s="8">
        <f>D12 + (B12*E12)</f>
        <v>20300</v>
      </c>
      <c r="H12" s="8">
        <f>G12-F12</f>
        <v>19300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7" t="s">
        <v>278</v>
      </c>
      <c r="B16" s="18"/>
      <c r="C16" s="18"/>
      <c r="D16" s="18"/>
      <c r="E16" s="1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 t="s">
        <v>285</v>
      </c>
      <c r="B17" s="5" t="s">
        <v>286</v>
      </c>
      <c r="C17" s="5" t="s">
        <v>287</v>
      </c>
      <c r="D17" s="5" t="s">
        <v>288</v>
      </c>
      <c r="E17" s="5" t="s">
        <v>289</v>
      </c>
      <c r="F17" s="5" t="s">
        <v>290</v>
      </c>
      <c r="G17" s="5" t="s">
        <v>291</v>
      </c>
      <c r="H17" s="5" t="s">
        <v>292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6" t="s">
        <v>293</v>
      </c>
      <c r="B18" s="8">
        <v>-150</v>
      </c>
      <c r="C18" s="8">
        <v>-7.5</v>
      </c>
      <c r="D18" s="8">
        <v>20000</v>
      </c>
      <c r="E18" s="9">
        <v>4.5</v>
      </c>
      <c r="F18" s="8">
        <v>1125</v>
      </c>
      <c r="G18" s="8">
        <v>19325</v>
      </c>
      <c r="H18" s="8">
        <v>18200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7" t="s">
        <v>277</v>
      </c>
      <c r="B22" s="18"/>
      <c r="C22" s="18"/>
      <c r="D22" s="18"/>
      <c r="E22" s="1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 t="s">
        <v>285</v>
      </c>
      <c r="B23" s="5" t="s">
        <v>286</v>
      </c>
      <c r="C23" s="5" t="s">
        <v>287</v>
      </c>
      <c r="D23" s="5" t="s">
        <v>288</v>
      </c>
      <c r="E23" s="5" t="s">
        <v>289</v>
      </c>
      <c r="F23" s="5" t="s">
        <v>290</v>
      </c>
      <c r="G23" s="5" t="s">
        <v>291</v>
      </c>
      <c r="H23" s="5" t="s">
        <v>292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6" t="s">
        <v>293</v>
      </c>
      <c r="B24" s="8">
        <v>200</v>
      </c>
      <c r="C24" s="8">
        <v>5</v>
      </c>
      <c r="D24" s="8">
        <v>20000</v>
      </c>
      <c r="E24" s="8">
        <v>1.5</v>
      </c>
      <c r="F24" s="8">
        <f>B24*C24</f>
        <v>1000</v>
      </c>
      <c r="G24" s="8">
        <f>D24 + (B24*E24)</f>
        <v>20300</v>
      </c>
      <c r="H24" s="8">
        <f>G24-F24</f>
        <v>19300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mergeCells count="2">
    <mergeCell ref="A16:E16"/>
    <mergeCell ref="A22:E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82963D-A504-4FBF-9515-871693021C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</vt:lpstr>
      <vt:lpstr>Retail sales data</vt:lpstr>
      <vt:lpstr>Sheet1</vt:lpstr>
      <vt:lpstr>Product master</vt:lpstr>
      <vt:lpstr>scenario 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Gunasekaran</dc:creator>
  <cp:lastModifiedBy>Sathish N</cp:lastModifiedBy>
  <dcterms:created xsi:type="dcterms:W3CDTF">2025-08-20T10:20:38Z</dcterms:created>
  <dcterms:modified xsi:type="dcterms:W3CDTF">2025-11-08T10:53:11Z</dcterms:modified>
</cp:coreProperties>
</file>